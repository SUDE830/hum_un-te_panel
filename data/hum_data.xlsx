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7d5f2e6914c520cc/Masaüstü/"/>
    </mc:Choice>
  </mc:AlternateContent>
  <xr:revisionPtr revIDLastSave="5" documentId="8_{806EADC2-CEE5-474F-BDB2-56D2DA425B7B}" xr6:coauthVersionLast="47" xr6:coauthVersionMax="47" xr10:uidLastSave="{10460FAE-68DA-4000-84CC-4760B0A32407}"/>
  <bookViews>
    <workbookView xWindow="-108" yWindow="-108" windowWidth="23256" windowHeight="12456" firstSheet="3" activeTab="4" xr2:uid="{BE84D327-DBF7-49F4-BFB2-CEB802A41F6B}"/>
  </bookViews>
  <sheets>
    <sheet name="HSB100 Ekstraktör" sheetId="27" r:id="rId1"/>
    <sheet name="HSB200 Ekstraktör" sheetId="10" r:id="rId2"/>
    <sheet name="HSB320 Ekstraktör" sheetId="26" r:id="rId3"/>
    <sheet name="HSB480 Ekstraktör" sheetId="24" r:id="rId4"/>
    <sheet name="HSB750 Ekstraktör" sheetId="18" r:id="rId5"/>
    <sheet name="HSB1330 Ekstraktör" sheetId="11" r:id="rId6"/>
    <sheet name="Elevatör-Konveyör" sheetId="19" r:id="rId7"/>
    <sheet name="Tortulu Yağ Elevatörü" sheetId="23" r:id="rId8"/>
    <sheet name="NYP60 Pres" sheetId="12" r:id="rId9"/>
    <sheet name="NYP45 Pres" sheetId="29" r:id="rId10"/>
    <sheet name="NYP30 Pres" sheetId="13" r:id="rId11"/>
    <sheet name="NYP15 Pres" sheetId="25" r:id="rId12"/>
    <sheet name="NYP4 Pres" sheetId="20" r:id="rId13"/>
    <sheet name="FRP05 Pres" sheetId="28" r:id="rId14"/>
    <sheet name="Kondisyoner ve Tava" sheetId="17" r:id="rId15"/>
    <sheet name="Vals" sheetId="14" r:id="rId16"/>
    <sheet name="Kırma" sheetId="15" r:id="rId17"/>
    <sheet name="Rafine" sheetId="16" r:id="rId18"/>
    <sheet name="Özel İmalat" sheetId="21" r:id="rId19"/>
  </sheets>
  <definedNames>
    <definedName name="_xlnm.Print_Area" localSheetId="6">'Elevatör-Konveyör'!$A$1:$N$56</definedName>
    <definedName name="_xlnm.Print_Area" localSheetId="13">'FRP05 Pres'!$A$1:$N$11</definedName>
    <definedName name="_xlnm.Print_Area" localSheetId="0">'HSB100 Ekstraktör'!$A$1:$N$29</definedName>
    <definedName name="_xlnm.Print_Area" localSheetId="5">'HSB1330 Ekstraktör'!$A$1:$N$131</definedName>
    <definedName name="_xlnm.Print_Area" localSheetId="1">'HSB200 Ekstraktör'!$A$1:$N$144</definedName>
    <definedName name="_xlnm.Print_Area" localSheetId="2">'HSB320 Ekstraktör'!$A$1:$N$34</definedName>
    <definedName name="_xlnm.Print_Area" localSheetId="3">'HSB480 Ekstraktör'!$A$1:$N$61</definedName>
    <definedName name="_xlnm.Print_Area" localSheetId="4">'HSB750 Ekstraktör'!$A$1:$N$68</definedName>
    <definedName name="_xlnm.Print_Area" localSheetId="16">Kırma!$A$1:$N$30</definedName>
    <definedName name="_xlnm.Print_Area" localSheetId="14">'Kondisyoner ve Tava'!$A$1:$N$54</definedName>
    <definedName name="_xlnm.Print_Area" localSheetId="11">'NYP15 Pres'!$B$1:$O$62</definedName>
    <definedName name="_xlnm.Print_Area" localSheetId="10">'NYP30 Pres'!$A$1:$N$51</definedName>
    <definedName name="_xlnm.Print_Area" localSheetId="12">'NYP4 Pres'!$A$1:$N$43</definedName>
    <definedName name="_xlnm.Print_Area" localSheetId="9">'NYP45 Pres'!$A$1:$N$50</definedName>
    <definedName name="_xlnm.Print_Area" localSheetId="8">'NYP60 Pres'!$A$1:$N$136</definedName>
    <definedName name="_xlnm.Print_Area" localSheetId="18">'Özel İmalat'!$A$1:$N$20</definedName>
    <definedName name="_xlnm.Print_Area" localSheetId="17">Rafine!$A$1:$N$33</definedName>
    <definedName name="_xlnm.Print_Area" localSheetId="7">'Tortulu Yağ Elevatörü'!$A$1:$N$9</definedName>
    <definedName name="_xlnm.Print_Area" localSheetId="15">Vals!$A$1:$N$86</definedName>
    <definedName name="_xlnm.Print_Titles" localSheetId="6">'Elevatör-Konveyör'!$1:$1</definedName>
    <definedName name="_xlnm.Print_Titles" localSheetId="13">'FRP05 Pres'!$1:$1</definedName>
    <definedName name="_xlnm.Print_Titles" localSheetId="0">'HSB100 Ekstraktör'!$1:$1</definedName>
    <definedName name="_xlnm.Print_Titles" localSheetId="5">'HSB1330 Ekstraktör'!$1:$1</definedName>
    <definedName name="_xlnm.Print_Titles" localSheetId="1">'HSB200 Ekstraktör'!$1:$1</definedName>
    <definedName name="_xlnm.Print_Titles" localSheetId="2">'HSB320 Ekstraktör'!$1:$1</definedName>
    <definedName name="_xlnm.Print_Titles" localSheetId="3">'HSB480 Ekstraktör'!$1:$1</definedName>
    <definedName name="_xlnm.Print_Titles" localSheetId="4">'HSB750 Ekstraktör'!$1:$1</definedName>
    <definedName name="_xlnm.Print_Titles" localSheetId="16">Kırma!$1:$1</definedName>
    <definedName name="_xlnm.Print_Titles" localSheetId="14">'Kondisyoner ve Tava'!$1:$1</definedName>
    <definedName name="_xlnm.Print_Titles" localSheetId="11">'NYP15 Pres'!$1:$1</definedName>
    <definedName name="_xlnm.Print_Titles" localSheetId="10">'NYP30 Pres'!$1:$1</definedName>
    <definedName name="_xlnm.Print_Titles" localSheetId="12">'NYP4 Pres'!$1:$1</definedName>
    <definedName name="_xlnm.Print_Titles" localSheetId="9">'NYP45 Pres'!$1:$1</definedName>
    <definedName name="_xlnm.Print_Titles" localSheetId="8">'NYP60 Pres'!$1:$2</definedName>
    <definedName name="_xlnm.Print_Titles" localSheetId="18">'Özel İmalat'!$1:$1</definedName>
    <definedName name="_xlnm.Print_Titles" localSheetId="17">Rafine!$1:$1</definedName>
    <definedName name="_xlnm.Print_Titles" localSheetId="7">'Tortulu Yağ Elevatörü'!$1:$1</definedName>
    <definedName name="_xlnm.Print_Titles" localSheetId="15">Vals!$1:$1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 i="24" l="1"/>
  <c r="I6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Ahmet HAYAT</author>
  </authors>
  <commentList>
    <comment ref="I37" authorId="0" shapeId="0" xr:uid="{DE3DE7BE-0458-40DC-8F98-DF185A508B89}">
      <text>
        <r>
          <rPr>
            <b/>
            <sz val="9"/>
            <color indexed="81"/>
            <rFont val="Tahoma"/>
            <family val="2"/>
            <charset val="162"/>
          </rPr>
          <t xml:space="preserve">Ahmet HAYAT:
</t>
        </r>
        <r>
          <rPr>
            <sz val="9"/>
            <color indexed="81"/>
            <rFont val="Tahoma"/>
            <family val="2"/>
            <charset val="162"/>
          </rPr>
          <t>1Takıma ait 1 adet kanat ağırlığı</t>
        </r>
        <r>
          <rPr>
            <b/>
            <sz val="9"/>
            <color indexed="81"/>
            <rFont val="Tahoma"/>
            <family val="2"/>
            <charset val="162"/>
          </rPr>
          <t xml:space="preserve">
</t>
        </r>
      </text>
    </comment>
    <comment ref="I38" authorId="0" shapeId="0" xr:uid="{7DEA7055-4BFE-424A-80D2-4E8829741E3C}">
      <text>
        <r>
          <rPr>
            <b/>
            <sz val="9"/>
            <color indexed="81"/>
            <rFont val="Tahoma"/>
            <family val="2"/>
            <charset val="162"/>
          </rPr>
          <t>Ahmet HAYAT:</t>
        </r>
        <r>
          <rPr>
            <sz val="9"/>
            <color indexed="81"/>
            <rFont val="Tahoma"/>
            <family val="2"/>
            <charset val="162"/>
          </rPr>
          <t xml:space="preserve">
1Takıma ait 1 adet kanat ağırlığı</t>
        </r>
      </text>
    </comment>
    <comment ref="I39" authorId="0" shapeId="0" xr:uid="{33D940F7-3196-4101-A206-E63507074A1D}">
      <text>
        <r>
          <rPr>
            <b/>
            <sz val="9"/>
            <color indexed="81"/>
            <rFont val="Tahoma"/>
            <family val="2"/>
            <charset val="162"/>
          </rPr>
          <t>Ahmet HAYAT:</t>
        </r>
        <r>
          <rPr>
            <sz val="9"/>
            <color indexed="81"/>
            <rFont val="Tahoma"/>
            <family val="2"/>
            <charset val="162"/>
          </rPr>
          <t xml:space="preserve">
1Takıma ait 1 adet kanat ağırlığı</t>
        </r>
      </text>
    </comment>
  </commentList>
</comments>
</file>

<file path=xl/sharedStrings.xml><?xml version="1.0" encoding="utf-8"?>
<sst xmlns="http://schemas.openxmlformats.org/spreadsheetml/2006/main" count="8902" uniqueCount="1744">
  <si>
    <t>5 ADET TARTILDI KANTAR FİŞİ</t>
  </si>
  <si>
    <t>KANTAR FİŞİ</t>
  </si>
  <si>
    <t>LOAD CELL İLE TARTILDI</t>
  </si>
  <si>
    <t>300 x 1300 İki Kademeli Kırma Makinesi (BİTMİŞ HALİ)</t>
  </si>
  <si>
    <t>300 x 1300 İki Kademeli Kırma Yedirici (İŞLENMEMİŞ)</t>
  </si>
  <si>
    <t>400 x 1000 Kırma Makinesi Komple</t>
  </si>
  <si>
    <t>600 x 1300 Pullama Valsi (BİTMİŞ KOMPLE)</t>
  </si>
  <si>
    <t>600 x 1300 Pullama Valsi Gövde (İŞLENMEMİŞ)</t>
  </si>
  <si>
    <t>300 x 1300 İki Kademeli Kırma Gövde (İŞLENMEMİŞ)</t>
  </si>
  <si>
    <t>4 D 02</t>
  </si>
  <si>
    <t>GÜMRÜK EVRAĞI)</t>
  </si>
  <si>
    <t>Kristalizatör</t>
  </si>
  <si>
    <t>1 D 652-??</t>
  </si>
  <si>
    <t>Item No.</t>
  </si>
  <si>
    <t>Adet</t>
  </si>
  <si>
    <t>Açıklama</t>
  </si>
  <si>
    <t>Net Ağırlık (Kg)</t>
  </si>
  <si>
    <t>Brüt Ağırlık (Kg)</t>
  </si>
  <si>
    <t>Palet</t>
  </si>
  <si>
    <t>Bağ</t>
  </si>
  <si>
    <t>Kasa</t>
  </si>
  <si>
    <t>Açık</t>
  </si>
  <si>
    <t>1 D 408</t>
  </si>
  <si>
    <t>1 E 221</t>
  </si>
  <si>
    <t>1 G 261-1</t>
  </si>
  <si>
    <t>1 G 261</t>
  </si>
  <si>
    <t>Zincir Konveyör Part3</t>
  </si>
  <si>
    <t>Zincir Konveyör Part4</t>
  </si>
  <si>
    <t>Zincir Konveyör Part5</t>
  </si>
  <si>
    <t>1 F 305</t>
  </si>
  <si>
    <t>1 D 410</t>
  </si>
  <si>
    <t>1 E 403</t>
  </si>
  <si>
    <t>1 E 451</t>
  </si>
  <si>
    <t>1 E 456</t>
  </si>
  <si>
    <t>1 E 471</t>
  </si>
  <si>
    <t>1 D 654</t>
  </si>
  <si>
    <t>1 D 663</t>
  </si>
  <si>
    <t>Atık Hava Siklonu</t>
  </si>
  <si>
    <t>1 D 672</t>
  </si>
  <si>
    <t>Toz Siklonu</t>
  </si>
  <si>
    <t>1 D 705</t>
  </si>
  <si>
    <t>1 E 704</t>
  </si>
  <si>
    <t>1 D 201</t>
  </si>
  <si>
    <t>Kayan Hücreli Ekstraktör</t>
  </si>
  <si>
    <t>1 D 201.2</t>
  </si>
  <si>
    <t>1 D 201.3</t>
  </si>
  <si>
    <t>1 D 201.4</t>
  </si>
  <si>
    <t>Sonsuz Zincir Mekanizması Part1</t>
  </si>
  <si>
    <t>Sonsuz Zincir Mekanizması Part2</t>
  </si>
  <si>
    <t>Sonsuz Zincir Mekanizması Part3</t>
  </si>
  <si>
    <t>1 D 201.6</t>
  </si>
  <si>
    <t>1 G 292</t>
  </si>
  <si>
    <t>1 D 652</t>
  </si>
  <si>
    <t>1 D 652.3</t>
  </si>
  <si>
    <t>7 G 102</t>
  </si>
  <si>
    <t>Zincir Konveyör (Zincir)</t>
  </si>
  <si>
    <t>1 E 303               1 F 321</t>
  </si>
  <si>
    <t>1 D 406               1 E 405</t>
  </si>
  <si>
    <t>1 D 701              1 F 722</t>
  </si>
  <si>
    <t>8 G 112.9</t>
  </si>
  <si>
    <t>Zincirli Konveyör Part2</t>
  </si>
  <si>
    <t>Zincirli Konveyör Part3</t>
  </si>
  <si>
    <t>Zincirli Konveyör Part4</t>
  </si>
  <si>
    <t>Zincirli Konveyör Part5</t>
  </si>
  <si>
    <t>Zincirli Konveyör Part6</t>
  </si>
  <si>
    <t>Zincirli Konveyör Part7</t>
  </si>
  <si>
    <t>Zincirli Konveyör Part8</t>
  </si>
  <si>
    <t>8 G 102</t>
  </si>
  <si>
    <t>7 G 102.2</t>
  </si>
  <si>
    <t>Eşanjörlere ait ayaklar 25 adet</t>
  </si>
  <si>
    <t>Eşanjörlere ait ayaklar 6 adet</t>
  </si>
  <si>
    <t>TARTI OK</t>
  </si>
  <si>
    <t>Zincirli Konveyör Part1 (11 kw, 33 d/d redüktör bağlı)</t>
  </si>
  <si>
    <t>Zincir Konveyör (3 parça) Part2</t>
  </si>
  <si>
    <t>Zincir Konveyör Part6</t>
  </si>
  <si>
    <t>Zincirli Konveyör Part1 (7,5 kw, 41 d/d redüktör bağlı)</t>
  </si>
  <si>
    <t>Zincir Paletleri 140 Adet</t>
  </si>
  <si>
    <t>Ünite</t>
  </si>
  <si>
    <t>V20</t>
  </si>
  <si>
    <t>V20 st37</t>
  </si>
  <si>
    <t>Sipariş No</t>
  </si>
  <si>
    <t xml:space="preserve"> OR 025-2010    El-Shark</t>
  </si>
  <si>
    <t xml:space="preserve"> OR 006-2010    Doğa Gıda</t>
  </si>
  <si>
    <t>OR 026-2010  Azersun</t>
  </si>
  <si>
    <t>800 x 1600 Pullama Valsi Gövde (İŞLENMEMİŞ)</t>
  </si>
  <si>
    <t>VİNÇ KANTARI</t>
  </si>
  <si>
    <t>KIRMA</t>
  </si>
  <si>
    <t>NYP-30</t>
  </si>
  <si>
    <t>RAFİNE</t>
  </si>
  <si>
    <t>Paket şekli</t>
  </si>
  <si>
    <t>Zincirli Konveyör Zincir (Zincir ve paletler kaynak ile akuple)</t>
  </si>
  <si>
    <t>4 D 03</t>
  </si>
  <si>
    <t>4 E 07</t>
  </si>
  <si>
    <t>4 F 01</t>
  </si>
  <si>
    <t>4 D 06</t>
  </si>
  <si>
    <t>3 E 03</t>
  </si>
  <si>
    <t>Yüksek Vakum Deodorizer (5 bölmeli)                                               (High Vacuum Deodorization Unit - 5 stages)</t>
  </si>
  <si>
    <t>Open</t>
  </si>
  <si>
    <t>Drier and Degasser                                                                                   (Kurutucu ve Gassızlaştırıcı)</t>
  </si>
  <si>
    <t>Fatty Acid Reciever                                                                      (Yağ Asidi Toplayıcı)</t>
  </si>
  <si>
    <t>Vapour Scrubber                                                                                   (Buhar Sıyırıcı)</t>
  </si>
  <si>
    <t>Shell and Tube Start Up Heater                                                                     (Borulu Tip Ön Isıtıcı)</t>
  </si>
  <si>
    <t>High Vacuum Deodorization Unit - 3 stages                                    (Yüksek Vakum Deodorizer - 3 bölmeli)</t>
  </si>
  <si>
    <t>Oil Heater                                                                                            (Yağ Isıtıcı)</t>
  </si>
  <si>
    <t>600-1300 Vals Makinesi Yedirici (İŞLENMEMİŞ)</t>
  </si>
  <si>
    <t>600-1300 Vals Makinesi Hidrolik Bağlantı Parçası (İŞLENMEMİŞ)</t>
  </si>
  <si>
    <t>Doğa Gıda</t>
  </si>
  <si>
    <t>7 E 101</t>
  </si>
  <si>
    <t>NYK-26-6</t>
  </si>
  <si>
    <t xml:space="preserve"> OR 018-2011    Efko</t>
  </si>
  <si>
    <t>600 x 1300 Pullama Valsi (BİTMİŞ KOMPLE) 01.03.2012</t>
  </si>
  <si>
    <t>3 D 04</t>
  </si>
  <si>
    <t>3 F 04</t>
  </si>
  <si>
    <t>3 F 05</t>
  </si>
  <si>
    <t>Özel Kantar</t>
  </si>
  <si>
    <t xml:space="preserve"> 3 D 04</t>
  </si>
  <si>
    <t>3 D 04 Karıştırıcı kanatlar 1 adet,</t>
  </si>
  <si>
    <t>3 F 04 Karıştırıcı kanatlar 1 adet,</t>
  </si>
  <si>
    <t>3 F 05 Karıştırıcı kanatlar 1 adet,</t>
  </si>
  <si>
    <t>Karıştırıcı Yataklaması: (112 Kg)                                                        Motor&amp;Redük (2,2kW 400 d/d NR 202-100L/4a): 41 Kg</t>
  </si>
  <si>
    <t>Karıştırıcı Yataklaması: (121 Kg)                                                       Motor&amp;Redük (3,0 kW 194 d/d NR 282-100L/4b): 54 Kg</t>
  </si>
  <si>
    <t>Karıştırıcı Yataklaması: (119 Kg)                                                           Motor&amp;Redük (2,2kW 241 d/d NR 202-100L/4a): 41 Kg</t>
  </si>
  <si>
    <t xml:space="preserve"> OR 008-2011    Yonca</t>
  </si>
  <si>
    <t xml:space="preserve"> OR 017-2011    Konya Şeker</t>
  </si>
  <si>
    <t>Tartım Şekli</t>
  </si>
  <si>
    <t>MALZEME HESABI</t>
  </si>
  <si>
    <t>GAMAK LİSTESİNDEN</t>
  </si>
  <si>
    <t>9 D 101.3</t>
  </si>
  <si>
    <t>Condansate Pot</t>
  </si>
  <si>
    <t xml:space="preserve"> OR 011-2011    Atlam</t>
  </si>
  <si>
    <t>1 F 513</t>
  </si>
  <si>
    <t>Slop Tankı</t>
  </si>
  <si>
    <t>5 D 503                       5 G 508</t>
  </si>
  <si>
    <t>Degumming Reaktörü ve (5 G 508) Karıştırıcısı</t>
  </si>
  <si>
    <t>5 F 506              5 G 509</t>
  </si>
  <si>
    <t>Lesitin Tankı ve (5 G 509) Karıştırıcısı</t>
  </si>
  <si>
    <t>5 F 515</t>
  </si>
  <si>
    <t>Sıcak Su Tankı</t>
  </si>
  <si>
    <t>1 E 220 Misella Ön Isıtıcısı (Ceketli Tip1) (3 Adet) /                       1 E 220 Misella Ön Isıtıcısı (Ceketli Tip2) (4 Adet) /                                      1 E 407 Yağ Ön Isıtıcısı 4 parça /                                               1 E 402 Misella Ön Isıtıcı                                                                     1 F 301 Solvent iş tankına ait havalandırma bacası</t>
  </si>
  <si>
    <t>800 x 1600 Pullama Valsi</t>
  </si>
  <si>
    <t xml:space="preserve">1 G 261.1 </t>
  </si>
  <si>
    <t>Zincir Paletleri 132 Adet / Sabitleme ayakları 10 Adet</t>
  </si>
  <si>
    <t>Zincir Konveyör (2 parça) Part2</t>
  </si>
  <si>
    <t>Zincir Konveyör Part3 Dirsek</t>
  </si>
  <si>
    <t>OR 014-2011  Konya Şeker</t>
  </si>
  <si>
    <t>V20            AISI 304</t>
  </si>
  <si>
    <t>7 G 108</t>
  </si>
  <si>
    <t>9 G 116</t>
  </si>
  <si>
    <t>KASA DEĞİŞEBİLİR</t>
  </si>
  <si>
    <t>2 Adet</t>
  </si>
  <si>
    <t>9 F 103</t>
  </si>
  <si>
    <t>Siklon Seperatör</t>
  </si>
  <si>
    <t>9 G 102</t>
  </si>
  <si>
    <t>300 x 1300 İki Kademeli Kırma Makinesi (Soya İçin)</t>
  </si>
  <si>
    <t>OR 017-2011  Yonca</t>
  </si>
  <si>
    <t>7 G 108
9 G 116</t>
  </si>
  <si>
    <t>Ana Dişli Kutusu Şasesi</t>
  </si>
  <si>
    <t>OR 017-2011  Konya Şeker</t>
  </si>
  <si>
    <t>Zincir Konveyör Zinciri 130 Düz Bakla+130 Paletli Bakla</t>
  </si>
  <si>
    <t>Flaş Deposu (383 Kg) (E405 ile montajlı)                                                     Yükselen Film Evaporatörü (768 Kg) (D406 ile montajlı)</t>
  </si>
  <si>
    <t>NYP-60</t>
  </si>
  <si>
    <t>OR 019-2011  EFKO</t>
  </si>
  <si>
    <t>7 G 123</t>
  </si>
  <si>
    <t>AL ÇELİK KANARI</t>
  </si>
  <si>
    <t>7 F 104</t>
  </si>
  <si>
    <t>Kondensat Toplama Tankı  1 adet</t>
  </si>
  <si>
    <t>7 E 103</t>
  </si>
  <si>
    <t>KANTAR</t>
  </si>
  <si>
    <t>Cooker 3500x9 Tava  1 adet  (Part1)</t>
  </si>
  <si>
    <t>Cooker 3500x9 Tava  1 adet  (Part2)</t>
  </si>
  <si>
    <t xml:space="preserve">Cooker 3500x9 Tava  1 adet  (Part3) </t>
  </si>
  <si>
    <t>Cooker 3500x9 Tava nem bacası 1 adet</t>
  </si>
  <si>
    <t>Cooker 3500x9 Tava mili Elastik kaplini RBS-800 1 adet      ÇMS</t>
  </si>
  <si>
    <t>Cooker 3500x9</t>
  </si>
  <si>
    <t xml:space="preserve">Cooker 3500x9 Tava menhol kapakları 4 adet </t>
  </si>
  <si>
    <t xml:space="preserve">Cooker 3500x9 Tava klapeleri 4 adet </t>
  </si>
  <si>
    <t>Cooker 3500x9 Tava üst yataklama</t>
  </si>
  <si>
    <t xml:space="preserve">DÖKÜM </t>
  </si>
  <si>
    <t>Cooker 3500x9 Tava kanatları H=410 mm 2 adet</t>
  </si>
  <si>
    <t>Cooker 3500x9 Tava kanatları H=250 mm 2 adet</t>
  </si>
  <si>
    <t>Cooker 3500x9 Tava Mili (Part1</t>
  </si>
  <si>
    <t>ŞENKAYA DÖKÜM</t>
  </si>
  <si>
    <t>SOLİT ÇİZİM</t>
  </si>
  <si>
    <t>OR 002-2012  Noble</t>
  </si>
  <si>
    <t>OR 002-2012 Noble</t>
  </si>
  <si>
    <t>5G05        6G01</t>
  </si>
  <si>
    <t>5G05       6G01</t>
  </si>
  <si>
    <t>S300x1300 Tekli Kırma Makinası Kaldırma Aparatı</t>
  </si>
  <si>
    <r>
      <t xml:space="preserve">Desolventizer-Toster-Kurutucu-Soğutucu (DTDC)                                            </t>
    </r>
    <r>
      <rPr>
        <sz val="10"/>
        <rFont val="Arial Tur"/>
        <charset val="162"/>
      </rPr>
      <t>Ø</t>
    </r>
    <r>
      <rPr>
        <sz val="10"/>
        <rFont val="Arial"/>
        <family val="2"/>
        <charset val="162"/>
      </rPr>
      <t>3000-Ø3500 (Kaplaması 500 Kg)</t>
    </r>
  </si>
  <si>
    <t>1 F 506</t>
  </si>
  <si>
    <t>Crude Lecithin Sludge Receiver     (SC MAKİNA)</t>
  </si>
  <si>
    <t>1 E 304</t>
  </si>
  <si>
    <t>Waste Water Cooling Tank           (SC MAKİNA)</t>
  </si>
  <si>
    <t>7F05</t>
  </si>
  <si>
    <t>Condensate Receicer                   (SC MAKİNA)</t>
  </si>
  <si>
    <t>10F04</t>
  </si>
  <si>
    <t>SC Tarttı</t>
  </si>
  <si>
    <t>OR 003-2012  Noble</t>
  </si>
  <si>
    <t xml:space="preserve">1 E 220        1 E 407           1 E 402 </t>
  </si>
  <si>
    <t>Zincirli Konveyör Ana Tahrik Kısmı (30 kw, 35 d/d Exproof Motorlu Redüktör Akuple) 724 Kg) 1 adet</t>
  </si>
  <si>
    <t>Zincirli Konveyör Redüksiyon Bağlantı 1 adet</t>
  </si>
  <si>
    <t>Zincirli Konveyör Ara Gövde Part1, 2 Adet</t>
  </si>
  <si>
    <t>Zincirli Konveyör Ara Gövde Part2, 2 Adet</t>
  </si>
  <si>
    <t>Zincirli Konveyör Ara Gövde Part3, 2 Adet</t>
  </si>
  <si>
    <t>Zincirli Konveyör Dirsek 1 Adet</t>
  </si>
  <si>
    <t>Zincirli Konveyör Küspe Girişi 1 Adet</t>
  </si>
  <si>
    <t>Zincirli Konveyör Gerdirme 1 Adet</t>
  </si>
  <si>
    <t xml:space="preserve">Zincirli Konveyör Paletleri Part1, 83 Adet </t>
  </si>
  <si>
    <t xml:space="preserve">Zincirli Konveyör Paletleri Part2, 80 Adet </t>
  </si>
  <si>
    <t>Zincirli Konveyör Zincir 50 metre /                                                   Zincirli Konveyör Kolon Ayakları 16 adet /</t>
  </si>
  <si>
    <t>Zincirli Konveyör Zincir 80 metre</t>
  </si>
  <si>
    <t>V133            AISI 304</t>
  </si>
  <si>
    <t>V133 st37</t>
  </si>
  <si>
    <t>V133     HUM</t>
  </si>
  <si>
    <t>2 D 02</t>
  </si>
  <si>
    <t>Ağartma Reaktörü AISI304</t>
  </si>
  <si>
    <t>2 D 04</t>
  </si>
  <si>
    <t>Retensiyon Tankı AISI304</t>
  </si>
  <si>
    <t>4 D 02                    4 D 03</t>
  </si>
  <si>
    <t>4 D 01</t>
  </si>
  <si>
    <t>Pre-Stripper AISI316</t>
  </si>
  <si>
    <t>4 E 02-02</t>
  </si>
  <si>
    <t>Soğutma Tankı AISI316</t>
  </si>
  <si>
    <t>4 E 02-01</t>
  </si>
  <si>
    <t>Düşen Film Isı Eşanjörü AISI316</t>
  </si>
  <si>
    <t>4D02 Yüksek Vakum Deodorizasyon Ünitesi AISI316                              4D03 Buhar Tutucu AISI316</t>
  </si>
  <si>
    <t xml:space="preserve"> OR 007-2012    Trakya Birlik</t>
  </si>
  <si>
    <t>Miktar</t>
  </si>
  <si>
    <t>09-2-001</t>
  </si>
  <si>
    <t xml:space="preserve">Krsitalizasyon Tankı        </t>
  </si>
  <si>
    <t>09-2-002</t>
  </si>
  <si>
    <t xml:space="preserve">Krsitalizasyon Tankı      </t>
  </si>
  <si>
    <t>09-2-003</t>
  </si>
  <si>
    <t xml:space="preserve">Krsitalizasyon Tankı    </t>
  </si>
  <si>
    <t>3 D 01</t>
  </si>
  <si>
    <t xml:space="preserve">Krsitalizasyon Tankı            </t>
  </si>
  <si>
    <t>3 D 02</t>
  </si>
  <si>
    <t xml:space="preserve">Olgunlaştırma Tankı           </t>
  </si>
  <si>
    <t>10 E 01.1</t>
  </si>
  <si>
    <t>Tava    1 adet                                       T&amp;M</t>
  </si>
  <si>
    <t>Tava Bacası   1 adet                             T&amp;M</t>
  </si>
  <si>
    <t>10 E 01.2</t>
  </si>
  <si>
    <t>10 E 01.3</t>
  </si>
  <si>
    <t>D 201.4</t>
  </si>
  <si>
    <t>Ekstraksiyon zinciri   10,2 metre   sol        Tilemann</t>
  </si>
  <si>
    <t>Ekstraksiyon zinciri     9,6 metre   sol        Tilemann</t>
  </si>
  <si>
    <t>Ekstraksiyon zinciri     7,2 metre   sol        Tilemann</t>
  </si>
  <si>
    <t>Ekstraksiyon zinciri   10,2 metre   sağ       Tilemann</t>
  </si>
  <si>
    <t>Ekstraksiyon zinciri     9,6 metre   sağ       Tilemann</t>
  </si>
  <si>
    <t>Ekstraksiyon zinciri     7,2 metre   sağ       Tilemann</t>
  </si>
  <si>
    <t>D 408</t>
  </si>
  <si>
    <t>Dolgu Halkası  VSP-50-M   15 torba      VFF</t>
  </si>
  <si>
    <t>Dolgu Halkası  VSP-50-M   17 torba      VFF</t>
  </si>
  <si>
    <t>D 701</t>
  </si>
  <si>
    <t>Dolgu Halkası  Novalox Saddless 1"   27 torba      VFF</t>
  </si>
  <si>
    <t>Dolgu Halkası  Novalox Saddless 1"   26 torba      VFF</t>
  </si>
  <si>
    <t>D 705</t>
  </si>
  <si>
    <t>Dolgu Halkası  Novalox Saddless 1"   36 torba      VFF</t>
  </si>
  <si>
    <t>D 711</t>
  </si>
  <si>
    <t>Dolgu Halkası  Novalox Saddless 1"   19 torba      VFF</t>
  </si>
  <si>
    <t>Noble Paket Liste</t>
  </si>
  <si>
    <t>E 221</t>
  </si>
  <si>
    <t>Solvent önısıtıcı</t>
  </si>
  <si>
    <t>1 D 302</t>
  </si>
  <si>
    <t>Solvent ayırıcı</t>
  </si>
  <si>
    <t>1 F 301</t>
  </si>
  <si>
    <t>Solvent iş tankı</t>
  </si>
  <si>
    <t>Full misella alıcısı</t>
  </si>
  <si>
    <t>1 F 321         
1 D 410</t>
  </si>
  <si>
    <t>Buhar Kondens Alıcısı - Yüksek vakum yağ kademesi</t>
  </si>
  <si>
    <t xml:space="preserve">1 D 406         </t>
  </si>
  <si>
    <t>Flaş Tankı</t>
  </si>
  <si>
    <t>1 D 406         
1 D 408</t>
  </si>
  <si>
    <t>Flaş tankı - Destillation Column</t>
  </si>
  <si>
    <t>1 E 303</t>
  </si>
  <si>
    <t>Kirli su desolventizeri</t>
  </si>
  <si>
    <t>1 E 308</t>
  </si>
  <si>
    <t>Kirli su önısıtıcısı</t>
  </si>
  <si>
    <t>1 E 402</t>
  </si>
  <si>
    <t>Misella önısıtıcısı</t>
  </si>
  <si>
    <t>1 E 407</t>
  </si>
  <si>
    <t>Yağ önısıtıcısı</t>
  </si>
  <si>
    <t>Vakum ana kondenseri</t>
  </si>
  <si>
    <t>1 E 453</t>
  </si>
  <si>
    <t>Kolon kondenseri</t>
  </si>
  <si>
    <t>Toster buhar kondenseri</t>
  </si>
  <si>
    <t>Kirli hava soğutucu</t>
  </si>
  <si>
    <t>1 E 472</t>
  </si>
  <si>
    <t>Absorpsiyon kolonu - Mineral yağ alıcısı</t>
  </si>
  <si>
    <t>Sıyırıcı kolon</t>
  </si>
  <si>
    <t>1 D 711</t>
  </si>
  <si>
    <t xml:space="preserve">Absorpsiyon kolonu </t>
  </si>
  <si>
    <t>Yağ ısıtıcısı</t>
  </si>
  <si>
    <t>1 D 663.A</t>
  </si>
  <si>
    <t>Kurutucu siklon</t>
  </si>
  <si>
    <t>1 D 663.B</t>
  </si>
  <si>
    <t>Toaster - 1</t>
  </si>
  <si>
    <t>Toaster - 2</t>
  </si>
  <si>
    <t>Toaster - 3</t>
  </si>
  <si>
    <t>Toaster - 4</t>
  </si>
  <si>
    <t>Toaster mili</t>
  </si>
  <si>
    <t>Hücreler    89 adet</t>
  </si>
  <si>
    <t>Elekler  9 adet</t>
  </si>
  <si>
    <t>Elekler  8 adet</t>
  </si>
  <si>
    <t>Ekstraktör mili</t>
  </si>
  <si>
    <t>10 E 01</t>
  </si>
  <si>
    <t>Tava elastik kaplini</t>
  </si>
  <si>
    <t>D 201</t>
  </si>
  <si>
    <t>Ekstraktör ana redüktörü  1 adet  Brevini</t>
  </si>
  <si>
    <t>H 951.3</t>
  </si>
  <si>
    <t>Buhar Separatörü   1 adet                    T&amp;M</t>
  </si>
  <si>
    <t>10 D 02</t>
  </si>
  <si>
    <t>Tortulu Yağ Eleği   1 adet                     T&amp;M</t>
  </si>
  <si>
    <t>10 D 03</t>
  </si>
  <si>
    <t>Yağ Karıştırma Tankı   1 adet                 T&amp;M</t>
  </si>
  <si>
    <t>1 D 302.1</t>
  </si>
  <si>
    <t>Pressure Balance Tank</t>
  </si>
  <si>
    <t>1 D 312.1</t>
  </si>
  <si>
    <t>Hydrocyclon     1 pc.</t>
  </si>
  <si>
    <t>1 D 312.2</t>
  </si>
  <si>
    <t>1 F 323</t>
  </si>
  <si>
    <t>Water Syphon    1 pc.</t>
  </si>
  <si>
    <t>Waste water Desolventizer   1 pc.</t>
  </si>
  <si>
    <t>Waste Water Preheater    1 pc.</t>
  </si>
  <si>
    <t>Oil Preheater    1 pc.</t>
  </si>
  <si>
    <t>Miscella Preheater   1 pc.</t>
  </si>
  <si>
    <t>Solvent Preheater    1 pc.</t>
  </si>
  <si>
    <t>1 E 220</t>
  </si>
  <si>
    <t>1 E 457</t>
  </si>
  <si>
    <t>Mixing Condenser     1 pc.</t>
  </si>
  <si>
    <t>H 952.1</t>
  </si>
  <si>
    <t>Flame Arrestors    6 pcs.</t>
  </si>
  <si>
    <t>1 G 664</t>
  </si>
  <si>
    <t>Rotary Vana  2 adet                T&amp;M</t>
  </si>
  <si>
    <t>Ekstraktör Yedirici</t>
  </si>
  <si>
    <t>D 652.1/2</t>
  </si>
  <si>
    <t>Rotary Valf Redüktörlü motoru   2 adet</t>
  </si>
  <si>
    <t>D 652.3/4</t>
  </si>
  <si>
    <t>D 652</t>
  </si>
  <si>
    <t>Rotary Valf   2 adet</t>
  </si>
  <si>
    <t>S300x1300 Tekli Kırma 1. Kademe ve 2. Kademe (Bitmiş)</t>
  </si>
  <si>
    <t xml:space="preserve">BB101 Duble Kayışlar (Kırma için Yedek) 10 adet /                                       SPB3150 V Kayış (Kırma için Yedek) 8 adet /                                                   Kırma Şim sacları 64 adet /                                                       10x240x400 mm Kırma Titreşim takozları (Delikli) 32 adet /                   10x240x460 mm Kırma Titreşim takozları (Deliksiz) 16 adet /                   10x60x60 mm Kırma Titreşim takozları (Delikli) 32 adet /           KM15 Kırma Anahtarları 8 adet /                                                   KM6 Kırma Anahtarları 8 adet /                                                      </t>
  </si>
  <si>
    <t>Redüktör Kasnak Koruma</t>
  </si>
  <si>
    <t xml:space="preserve">1 D 652.4-5-6-7 </t>
  </si>
  <si>
    <t>Ana Dişli Kutusu Redüktör 
Ex-proof motor 315 kW 
Hidrolik Kaplin</t>
  </si>
  <si>
    <t>Ekstraktör Kör Slek Sacları    2 adet</t>
  </si>
  <si>
    <t>Ekstraktör Dişli Çark</t>
  </si>
  <si>
    <t>Toaster kanatları Ø 5000</t>
  </si>
  <si>
    <t>Toaster kanatları Ø 5500</t>
  </si>
  <si>
    <t>Gümrük Evrağı</t>
  </si>
  <si>
    <t>Malzem Hesabı</t>
  </si>
  <si>
    <t>TM Tartı</t>
  </si>
  <si>
    <t>Malzeme Hesabı</t>
  </si>
  <si>
    <t>Düşen Film Evaporatörü-1    1 adet         Tamcı</t>
  </si>
  <si>
    <t>Düşen Film Evaporatörü-2    1 adet         Tamcı</t>
  </si>
  <si>
    <t>Elevatör st37</t>
  </si>
  <si>
    <t>10G10.3</t>
  </si>
  <si>
    <t>Yağ Elevatörü Gerdirme Kısmı</t>
  </si>
  <si>
    <t>Yağ Elevatörü Dirsek Kısmı</t>
  </si>
  <si>
    <t>Yağ Elevatörü Ara Bağlantı Kısmı</t>
  </si>
  <si>
    <t>Yağ Elevatörü Tahrik Kısmı (11 kw Motor, MV673-160M4 Redüktör 50 d/d)</t>
  </si>
  <si>
    <t>Yağ Elevatörü Zincir</t>
  </si>
  <si>
    <t>Metre</t>
  </si>
  <si>
    <t>Yağ Elevatör Ayağı</t>
  </si>
  <si>
    <t>Ø202x15 mm Gözetleme Camı 3 adet /                                             Ø202 mm Gözeteme Cam Contası 6 adet /                                                                   14x5 Contalon (30 metre) 3 paket/                                                                          Zincir (ISO 606-05B-01 8mm.hatve) (Ext+Toaster) 10 metre /                                  Zincir Kilidi (Ext+Toaster)15 adet /                                                                                                                                        15x80x184 mm Palet levhası (PE 1000) 134 adet /                                        174x45x1,5 mm Kova Şim Sacları 134 adet /                                                                   M16x55 Civata (DIN931) 48 adet /                                                      M16 Somun (DIN934) 48 adet /                                                           M16 Rondela (DIN125) 48 adet /                                                            Ayak bağlantı Civata+somun+pul</t>
  </si>
  <si>
    <t>Yağ Elevatörü Kova (15x60x210 mm Palet levhası (PE 1000) 134 adet ve 174x45x1,5 mmŞim Sacı 134 adet, Kova üzerine montajlı)</t>
  </si>
  <si>
    <t>OR 009-2011 Lionex</t>
  </si>
  <si>
    <t>Ø3000-25 Desolventizer - Toaster- Cooler Karıştırıcı Kanat</t>
  </si>
  <si>
    <t xml:space="preserve"> OR 009-2011    Lionex</t>
  </si>
  <si>
    <t>PARÇA PARÇA TARTILDI</t>
  </si>
  <si>
    <t>V20 AISI304</t>
  </si>
  <si>
    <t>1 G 651.1</t>
  </si>
  <si>
    <t>Rotary Vana           1 adet (İmalat SC Makine)</t>
  </si>
  <si>
    <t>Toplama Konveyörü (MV372/132 S/4 5,5 kw Motorlu redüktörü ile)</t>
  </si>
  <si>
    <t>Ekstraktör Kaldırma Aparatı 1 adet</t>
  </si>
  <si>
    <t>Ekstraktör Tork Kolu 1 adet/</t>
  </si>
  <si>
    <t>Siklon Rotary Valfleri 1 Adet (NV373-100L4a 2.2 Kw, 34 d/d Exproof Motorlu Redüktörü ile)</t>
  </si>
  <si>
    <t>OR 008-2012  Exim</t>
  </si>
  <si>
    <t>7 G 127.1/2</t>
  </si>
  <si>
    <t>Zincirli Konveyör Ana Tahrik (MV673 11 kw 1400 d/d Exproof Motorlu, 36 d/d Redüktör ile)</t>
  </si>
  <si>
    <t>Zincir Konveyör Ara Modül (3 parça)</t>
  </si>
  <si>
    <t>Zincir Konveyör Dirsek</t>
  </si>
  <si>
    <t>Zincir Konveyör Mal Giriş</t>
  </si>
  <si>
    <t>Zincir Konveyör Redüksiyon Bağlantı</t>
  </si>
  <si>
    <t>Zincir Konveyör Gerdirme</t>
  </si>
  <si>
    <t>Zincir Paletleri 60 Adet</t>
  </si>
  <si>
    <t>Zincir Paletleri 70 Adet</t>
  </si>
  <si>
    <t>OR 008-2012 Exim</t>
  </si>
  <si>
    <t>TM Tartım</t>
  </si>
  <si>
    <t>Ø3500mm - h300 mm Toaster Karıştırıcı Kanat (1 Takım) 2 Adet işlenmiş GS52</t>
  </si>
  <si>
    <t>Ø3500mm - h500 mm Toaster Karıştırıcı Kanat (1 Takım) 2 Adet işlenmiş GS52</t>
  </si>
  <si>
    <t>KENDİ İMALATIMIZ</t>
  </si>
  <si>
    <t>ZİNCİRLİ KONVEYÖR BAKLASI (DÜZ) 1 Adet</t>
  </si>
  <si>
    <t>HUM Tartı</t>
  </si>
  <si>
    <t>ZİNCİRLİ KONVEYÖR BAKLASI (PALETLİ) 1 Adet</t>
  </si>
  <si>
    <t>ZİNCİRLİ KONVEYÖR PİM VE PUL 1 Takım</t>
  </si>
  <si>
    <t>Takım</t>
  </si>
  <si>
    <t>1 D 503         1 F 501</t>
  </si>
  <si>
    <t>1F501 Swelling Tank - 1D503 Crude Oil Tank (Semer Dahil)</t>
  </si>
  <si>
    <t>st37</t>
  </si>
  <si>
    <t>Ø3000 Desolventizer - Toaster- Cooler (Semer Dahil)</t>
  </si>
  <si>
    <r>
      <t xml:space="preserve">Desolventizer-Toster (DT) </t>
    </r>
    <r>
      <rPr>
        <sz val="10"/>
        <rFont val="Arial Tur"/>
        <charset val="162"/>
      </rPr>
      <t>Ø</t>
    </r>
    <r>
      <rPr>
        <sz val="10"/>
        <rFont val="Arial"/>
        <family val="2"/>
        <charset val="162"/>
      </rPr>
      <t>3000 (Semer Dahil)</t>
    </r>
  </si>
  <si>
    <t>Solvent Ön Isıtıcı  - SC MAKİNE</t>
  </si>
  <si>
    <t>Tam Misella Tankı  - SC MAKİNE</t>
  </si>
  <si>
    <t>Atık Su Ön Isıtıcı  - SC MAKİNE</t>
  </si>
  <si>
    <t>1 F 321                         1 D 410</t>
  </si>
  <si>
    <t>1 F 321 Kondens Buhar Tankı                                                                                  1 D 410 Yüksek Vakum Yağ Kademesi  - SC MAKİNE</t>
  </si>
  <si>
    <t>Mixing Condenser  - SC MAKİNE</t>
  </si>
  <si>
    <t>Buhar Tutucu Siklon  - SC MAKİNE</t>
  </si>
  <si>
    <t>1 D 701                              1 F 722</t>
  </si>
  <si>
    <t>1 D 701 Absorpsiyon Kolonu                                                                             1 F 722 Mineral Yağ Tankı  - SC MAKİNE</t>
  </si>
  <si>
    <t>Vakum Stripping Kolonu  - SC MAKİNE</t>
  </si>
  <si>
    <t>Absorpsiyon Kolonu  - SC MAKİNE</t>
  </si>
  <si>
    <t>Solvent İş Tankı  - SC MAKİNE</t>
  </si>
  <si>
    <t>Solvent Su Seperatörü - SC MAKİNE</t>
  </si>
  <si>
    <t>V48     st37</t>
  </si>
  <si>
    <t>SC TARTIM</t>
  </si>
  <si>
    <t>1 D 312</t>
  </si>
  <si>
    <t>Misella Ön Isıtıcı  - SC MAKİNE</t>
  </si>
  <si>
    <t>Yükselen Film Evaporatörü - HUM</t>
  </si>
  <si>
    <t>1 E 405</t>
  </si>
  <si>
    <t>1 D 406                     1 D 408</t>
  </si>
  <si>
    <t>Yağ Ön Isıtıcı  - SC MAKİNE</t>
  </si>
  <si>
    <t>Vakum Ana Kondenseri - FORM MAKİNE</t>
  </si>
  <si>
    <t>Toaster Buhar Kondenseri - FORM MAKİNE</t>
  </si>
  <si>
    <t>Atık Hava Soğutucusu  - SC MAKİNE</t>
  </si>
  <si>
    <t>OR 011-2012 Seçer Tarım</t>
  </si>
  <si>
    <t>Atık Su Desolventizeri - SC MAKİNE</t>
  </si>
  <si>
    <t>Vals 600x1300 Pullama Silindiri (E-07)                                                    Flaker Roll  600 x 1300</t>
  </si>
  <si>
    <t xml:space="preserve"> OR 008-2012    Eximagrokom</t>
  </si>
  <si>
    <t>7 G 121.4</t>
  </si>
  <si>
    <r>
      <t xml:space="preserve">Toaster </t>
    </r>
    <r>
      <rPr>
        <sz val="10"/>
        <rFont val="Arial Tur"/>
        <charset val="162"/>
      </rPr>
      <t>Ø</t>
    </r>
    <r>
      <rPr>
        <sz val="10"/>
        <rFont val="Arial"/>
        <family val="2"/>
        <charset val="162"/>
      </rPr>
      <t>3500x6 Kat  HUM</t>
    </r>
  </si>
  <si>
    <t>Column Condenser - SC MAKİNE</t>
  </si>
  <si>
    <t>1 D 406 Flaş Deposu                                                                               1 D 408 Destilasyon Kolonu  - SC MAKİNE</t>
  </si>
  <si>
    <t>1 F 3002.1</t>
  </si>
  <si>
    <t>1 F 3002.2</t>
  </si>
  <si>
    <r>
      <t xml:space="preserve">Yer Altı Hegzan Tankı (Karbon Çeliği / st37) </t>
    </r>
    <r>
      <rPr>
        <sz val="10"/>
        <color indexed="10"/>
        <rFont val="Arial"/>
        <family val="2"/>
        <charset val="162"/>
      </rPr>
      <t>KARAT METAL</t>
    </r>
  </si>
  <si>
    <t>Parça</t>
  </si>
  <si>
    <t>Hidro Siklon</t>
  </si>
  <si>
    <t>Misella Ön Isıtıcı (Ceketli ve Ceketsiz Model) 7 adet /</t>
  </si>
  <si>
    <t>Zincirli Konveyör Palet</t>
  </si>
  <si>
    <t>Yükselen Film Evaporatörü - SC MAKİNE</t>
  </si>
  <si>
    <t>Dönel Vana TM</t>
  </si>
  <si>
    <t>DTDC 35003000-08 1. ve 2. kat kanatları h=300mm  (Gs-52)</t>
  </si>
  <si>
    <t>DTDC 35003000-17  4. ve 5. kat kanatları h=300mm  (Gs-52)</t>
  </si>
  <si>
    <t>DTDC 35003000-07  3. kat kanadı h=500mm (Gs-52)</t>
  </si>
  <si>
    <t>OR 003-2013</t>
  </si>
  <si>
    <t>Ana Dişli Kutusu Redüktör, Motor 90 kw, Hidrolik Kaplin, Koruma Sacı</t>
  </si>
  <si>
    <t>NYP-15</t>
  </si>
  <si>
    <t>7 G 127.1</t>
  </si>
  <si>
    <t>7 G 127.2</t>
  </si>
  <si>
    <t>OR 008-2012  EXİMAGROKOM</t>
  </si>
  <si>
    <t>LOAD CELL</t>
  </si>
  <si>
    <t>NYP60 Pres kafes hidrolik açma ünitesi (arabasıyla)2 Parça
Pres Kafes açma pistonu 1 adet /                                                  Pres Kafes açma piston aparatı 1 adet/</t>
  </si>
  <si>
    <t>Al Çelik Gerilim Giderme</t>
  </si>
  <si>
    <t>9 G 104.1</t>
  </si>
  <si>
    <t>NYP15-04-15 Kafes Civatası (1 Kafesde 38 takımdan oluşuyor)</t>
  </si>
  <si>
    <t>NYP15-04-01 Kafes işlenmiş (1 Adet Sağ veya Sol) GS52</t>
  </si>
  <si>
    <t>NYP15-04-02 Kafes Giriş Hilali (SEA 4330 Döküm) 2 Adet'den oluşuyor.</t>
  </si>
  <si>
    <t>NYP15-04-03 Kafes içi hilali (SEA 4330 Döküm) 2 Adet'den oluşuyor.</t>
  </si>
  <si>
    <t>NYP15-04-04 Kafes Sonu Hilali (SEA 4330 Döküm) 2 Adet'den oluşuyor.</t>
  </si>
  <si>
    <t>NYP15-04-05 Giriş Plakası (Ç4140 Döküm) 2 Adet'den oluşuyor.</t>
  </si>
  <si>
    <t>NYP15-04-06 Sıyırgı Bıçağı-1 Ç4140 (14 Adet)</t>
  </si>
  <si>
    <t xml:space="preserve">NYP15-04-07 Sıyırgı Bıçağı-2 Ç4140 (2 Adet) </t>
  </si>
  <si>
    <t>NYP15-04-18 Mapa</t>
  </si>
  <si>
    <t xml:space="preserve">NYP15-04-08 Sıyırgı Bıçağı-3 Ç4140 (2 Adet) </t>
  </si>
  <si>
    <t xml:space="preserve">NYP15-04-09 Sıyırgı Bıçağı-4 Ç4140 (2 Adet) </t>
  </si>
  <si>
    <t xml:space="preserve">NYP15-04-10 Sıyırgı Bıçağı-5 Ç4140 (2 Adet) </t>
  </si>
  <si>
    <t xml:space="preserve">NYP15-04-11 Sıyırgı Bıçağı-6 Ç4140 (2 Adet) </t>
  </si>
  <si>
    <t xml:space="preserve">NYP15-04-12 Sıyırgı bıçağı-7 Ç4140 (2 Adet) </t>
  </si>
  <si>
    <t>NYP15-04-13_14 Kafes Bıçakları L=200 mm (50 Adet)</t>
  </si>
  <si>
    <t>NYP15-04-13_14 Kafes Bıçakları L=300 mm (460 Adet)</t>
  </si>
  <si>
    <t>NYP15-04-16 Dayama (2 Adet)</t>
  </si>
  <si>
    <t>NYP15-04-17 Kafes Açma Civatası (2 Takım)</t>
  </si>
  <si>
    <r>
      <t xml:space="preserve">Flaş Deposu (E405 ile montajlı)    </t>
    </r>
    <r>
      <rPr>
        <sz val="10"/>
        <color indexed="10"/>
        <rFont val="Arial"/>
        <family val="2"/>
        <charset val="162"/>
      </rPr>
      <t xml:space="preserve"> FASON</t>
    </r>
    <r>
      <rPr>
        <sz val="10"/>
        <rFont val="Arial"/>
        <family val="2"/>
        <charset val="162"/>
      </rPr>
      <t xml:space="preserve">                                                Yükselen Film Evaporatörü(D406 ile montajlı)Pslmz1.4301</t>
    </r>
  </si>
  <si>
    <r>
      <t xml:space="preserve">Atık Su Desolventizeri (F321 ile montajlı)   </t>
    </r>
    <r>
      <rPr>
        <sz val="10"/>
        <color indexed="10"/>
        <rFont val="Arial"/>
        <family val="2"/>
        <charset val="162"/>
      </rPr>
      <t>FASON</t>
    </r>
    <r>
      <rPr>
        <sz val="10"/>
        <rFont val="Arial"/>
        <family val="2"/>
        <charset val="162"/>
      </rPr>
      <t xml:space="preserve">                                 Kondens Buhar Tankı (E303 ile montajlı) - Paslanmaz 1.4301</t>
    </r>
  </si>
  <si>
    <r>
      <t xml:space="preserve">Solvent Ön Isıtıcısı (Paslanmaz 1.4302) - </t>
    </r>
    <r>
      <rPr>
        <sz val="10"/>
        <color indexed="10"/>
        <rFont val="Arial"/>
        <family val="2"/>
        <charset val="162"/>
      </rPr>
      <t>FASON</t>
    </r>
  </si>
  <si>
    <r>
      <t xml:space="preserve">Ekstraktör İçin Atık Hava Soğutucusu (Gövde ve Borular Paslanmaz 1.40301, Boru Plakaları st37-2 </t>
    </r>
    <r>
      <rPr>
        <sz val="10"/>
        <color indexed="10"/>
        <rFont val="Arial"/>
        <family val="2"/>
        <charset val="162"/>
      </rPr>
      <t>FASON</t>
    </r>
  </si>
  <si>
    <t>Alçalan Film Evaporatör Ekonomizeri (Göv, borular, Plakalar 1.4301, Konik Sprey Nozül 1.4404)</t>
  </si>
  <si>
    <t>9,15,</t>
  </si>
  <si>
    <r>
      <t xml:space="preserve">Desolventizer - Toaster - Kurutucu - Soğutucu (DTDC) </t>
    </r>
    <r>
      <rPr>
        <sz val="10"/>
        <rFont val="Arial Tur"/>
        <charset val="162"/>
      </rPr>
      <t>Ø</t>
    </r>
    <r>
      <rPr>
        <sz val="10"/>
        <rFont val="Arial"/>
        <family val="2"/>
        <charset val="162"/>
      </rPr>
      <t>3500 - 3000 mm, 5 Kademe</t>
    </r>
  </si>
  <si>
    <t>9 D 101</t>
  </si>
  <si>
    <t>9 D 103.1</t>
  </si>
  <si>
    <r>
      <t>NYT 24-7 Model Pişirme Tavası (</t>
    </r>
    <r>
      <rPr>
        <sz val="10"/>
        <rFont val="Arial Tur"/>
        <charset val="162"/>
      </rPr>
      <t>Ø</t>
    </r>
    <r>
      <rPr>
        <sz val="10"/>
        <rFont val="Arial"/>
        <family val="2"/>
        <charset val="162"/>
      </rPr>
      <t xml:space="preserve">2400 mm x 7 Kat) st37 </t>
    </r>
  </si>
  <si>
    <r>
      <rPr>
        <sz val="10"/>
        <rFont val="Arial Tur"/>
        <charset val="162"/>
      </rPr>
      <t>NYC 24-7</t>
    </r>
    <r>
      <rPr>
        <sz val="10"/>
        <rFont val="Arial"/>
        <family val="2"/>
        <charset val="162"/>
      </rPr>
      <t xml:space="preserve"> Kondisyoner (Ø2400mmx7 Kat) st37  (Redüktör Hariç)</t>
    </r>
  </si>
  <si>
    <t>1 D 302          1 F 301</t>
  </si>
  <si>
    <r>
      <t xml:space="preserve">Solvent Su Separatörü (F301 ile montajlı)   </t>
    </r>
    <r>
      <rPr>
        <sz val="10"/>
        <rFont val="Arial"/>
        <family val="2"/>
        <charset val="162"/>
      </rPr>
      <t xml:space="preserve">                     Solvent İş Tankı (D302 ile montajlı) - Paslanmaz 1.4301</t>
    </r>
  </si>
  <si>
    <r>
      <t>Destilasyon Kolonu (Paslanmaz 1.4301)</t>
    </r>
    <r>
      <rPr>
        <sz val="10"/>
        <color indexed="10"/>
        <rFont val="Arial"/>
        <family val="2"/>
        <charset val="162"/>
      </rPr>
      <t xml:space="preserve">  Semer Dahil (608 kg + 62 kg)</t>
    </r>
  </si>
  <si>
    <t>Vakum Ana Konenseri (Komple Paslanmaz) (3470 +180 kg)</t>
  </si>
  <si>
    <t>Toaster Buhar Kondenseri (Gövde ve Borular Paslanmaz 1.4301, Boru Plakaları st37-2 (1875+125 kg)</t>
  </si>
  <si>
    <t>Yükselen Film Evaporatörü (Karbon Çeliği st35.8) (320+50 kg)</t>
  </si>
  <si>
    <t>Elastik Kaplin RBS 800 (NYT 3500)</t>
  </si>
  <si>
    <t>1 D 201.
10-12</t>
  </si>
  <si>
    <t>Ekstraksiyon Ana Tahrik Redüktörü ve Motoru</t>
  </si>
  <si>
    <t>V48</t>
  </si>
  <si>
    <t xml:space="preserve">Sonsuz Zincir Mekanizması Part2 </t>
  </si>
  <si>
    <t>Sonsuz Zincir Mekanizması Part4</t>
  </si>
  <si>
    <t>Ekstraktör Kaldırma Aparatı</t>
  </si>
  <si>
    <t>Zincirli Konveyör Ana Tahrik Kısmı  (11 kw, 36 d/d MV673 Motorku Redüktör bağlı) Part1</t>
  </si>
  <si>
    <t>Zincir Konveyör Ara Modüller (4 parça) Part2</t>
  </si>
  <si>
    <t>Zincir Konveyör Dirsek Part3</t>
  </si>
  <si>
    <t>Zincir Konveyör Mal Giriş Part 4</t>
  </si>
  <si>
    <t>Zincir Konveyör Redüksiyon Ara Bağlantı Part5</t>
  </si>
  <si>
    <t>Zincir Konveyör Gerdirme Part6</t>
  </si>
  <si>
    <t>Zincirli Konveyör Palet 170 Adet /                                                     Zincirci Konveyör Zinciri (46 metre) 3 Parça</t>
  </si>
  <si>
    <r>
      <rPr>
        <sz val="10"/>
        <rFont val="Arial Tur"/>
        <charset val="162"/>
      </rPr>
      <t>Ø</t>
    </r>
    <r>
      <rPr>
        <sz val="10"/>
        <rFont val="Arial"/>
        <family val="2"/>
        <charset val="162"/>
      </rPr>
      <t xml:space="preserve"> B Nozulu (Toaster) 1 Adet /                                                               □ A  Nozulu (Toaster) 1 Adet /                                                                     Ekstraktör Alt Bunker Montaj Sacları 21 Adet /</t>
    </r>
  </si>
  <si>
    <r>
      <rPr>
        <sz val="10"/>
        <rFont val="Arial Tur"/>
        <charset val="162"/>
      </rPr>
      <t>P1</t>
    </r>
    <r>
      <rPr>
        <sz val="10"/>
        <rFont val="Arial"/>
        <family val="2"/>
        <charset val="162"/>
      </rPr>
      <t xml:space="preserve"> Nozulu (Toaster) 1 Adet /                                                               P2  Nozulu (Toaster) 1 Adet /                                                                     Ekstraktör Tork Kolu 1 Adet /                                                              Ekstraktör Tork Kolu Aparatı 1 Adet / </t>
    </r>
  </si>
  <si>
    <t>Elastik kaplin  RBS 710 (Toaster) 1 adet</t>
  </si>
  <si>
    <t>Toaster Redüktör Muhafaza Sacı</t>
  </si>
  <si>
    <t>Paletli Koli</t>
  </si>
  <si>
    <t>Toaster Dönel Vana için Motorlu Redüktörler 3 Adet</t>
  </si>
  <si>
    <t>Elastik Kaplin RBS 630 (Toaster)</t>
  </si>
  <si>
    <t xml:space="preserve"> OR 011-2012   Seçer Tarım</t>
  </si>
  <si>
    <t>9 G 102.1</t>
  </si>
  <si>
    <t>Vals Kaldırma Aparatı st37</t>
  </si>
  <si>
    <t>Vals ve Kırma Makineleri için Kaldırma Aparatı st37</t>
  </si>
  <si>
    <t>Ekstraktör Sonsuz Zincir Mekanizması Part1</t>
  </si>
  <si>
    <t>Ekstraktör Sonsuz Zincir Mekanizması Part2</t>
  </si>
  <si>
    <t>Ekstraktör Sonsuz Zincir Mekanizması Part3</t>
  </si>
  <si>
    <t>600x1300 Vals Kaldırma Aparatı st37</t>
  </si>
  <si>
    <t>1 E 220 Misella Ön Isıtıcısı (Ceketli Tip1) (3 Adet) st35.8 /                       1 E 220 Misella Ön Isıtıcısı (Ceketli Tip2) (4 Adet) st35.8 /                         1 E 407 Yağ Ön Isıtıcısı 4 parça Karbon Ç.st35-8 /</t>
  </si>
  <si>
    <r>
      <t xml:space="preserve">Hava Bacaları AISI304 Ø406 3 adet/ </t>
    </r>
    <r>
      <rPr>
        <sz val="10"/>
        <rFont val="Arial Tur"/>
        <charset val="162"/>
      </rPr>
      <t>Ø</t>
    </r>
    <r>
      <rPr>
        <sz val="10"/>
        <rFont val="Arial"/>
        <family val="2"/>
        <charset val="162"/>
      </rPr>
      <t>508 3 adet (2 mm Sac)</t>
    </r>
  </si>
  <si>
    <t>Hava Bacaları AISI304 Ø406 4 adet/ Ø508 3 adet/                        Ø406-Ø508 Redüksiyon 1 adet (2 mm Sac)</t>
  </si>
  <si>
    <t>Hava Bacaları AISI304 Ø406 3 adet (2 mm Sac)</t>
  </si>
  <si>
    <t>Huni ve Kapak AISI304 (1 Takım 10 Kg)</t>
  </si>
  <si>
    <t>1 D 701         1 F 722</t>
  </si>
  <si>
    <r>
      <t xml:space="preserve">Apsorpsiyon Kolonu / Mineral Yağ Tankı (Paslanmaz 1.4301) </t>
    </r>
    <r>
      <rPr>
        <sz val="10"/>
        <color indexed="10"/>
        <rFont val="Arial"/>
        <family val="2"/>
        <charset val="162"/>
      </rPr>
      <t>FASON SC</t>
    </r>
  </si>
  <si>
    <r>
      <t xml:space="preserve">Vakum Stripping Kolonu (Paslanmaz 1.4301) </t>
    </r>
    <r>
      <rPr>
        <sz val="10"/>
        <color indexed="10"/>
        <rFont val="Arial"/>
        <family val="2"/>
        <charset val="162"/>
      </rPr>
      <t>FASON SC</t>
    </r>
  </si>
  <si>
    <t>Rossi Planet Redüktör - R2E 710 F3Z / 20.45 (Motor Gücü 500 Kw, 1500 d/d) (Redüktör Çıkış Devri 66 d/d)</t>
  </si>
  <si>
    <t>İsim Plakasından</t>
  </si>
  <si>
    <t>7 G 103.1</t>
  </si>
  <si>
    <t>OR 003-2013 Transoil</t>
  </si>
  <si>
    <t xml:space="preserve">Döğme </t>
  </si>
  <si>
    <t>Yüksek Vakum Kolonu (Karbon Ç. St37-2)</t>
  </si>
  <si>
    <t>Tam Misella Tankı - (Karbon Çelik st37.2)</t>
  </si>
  <si>
    <t>1 D 654.1</t>
  </si>
  <si>
    <t>Buhar Tutucu Siklon (Paslanmaz 1.4301)</t>
  </si>
  <si>
    <t>9 F 105</t>
  </si>
  <si>
    <t>Siklon Seperatör st37</t>
  </si>
  <si>
    <t>Zincirli Konveyör Ana Tahrik (MV673 11 kw 1400 d/d Exproof Motorlu, 36 d/d Redüktör ile) - Paslanmaz 1.4301</t>
  </si>
  <si>
    <t>Zincir Konveyör Ara Modül (3 parça) - Paslanmaz 1.4301</t>
  </si>
  <si>
    <t>Zincir Konveyör Dirsek - Paslanmaz 1.4301</t>
  </si>
  <si>
    <t>Zincir Konveyör Mal Giriş - Paslanmaz 1.4301</t>
  </si>
  <si>
    <t>Zincir Konveyör Redüksiyon Bağlantı - Paslanmaz 1.4301</t>
  </si>
  <si>
    <t>Zincir Konveyör Gerdirme - Paslanmaz 1.4301</t>
  </si>
  <si>
    <t>OR 011-2012
Seçer Tarım</t>
  </si>
  <si>
    <t>9 F 108</t>
  </si>
  <si>
    <t>Filtre Öncesi Yağ Tankı (20 m3) Karıştırıcı kapasite 12 m3 (4 kw Motorlu) st37</t>
  </si>
  <si>
    <t>9 F 110.1</t>
  </si>
  <si>
    <t>Filtre Sonrası Ham Yağ Tankı (20 m3) st37</t>
  </si>
  <si>
    <t>9 F 110.2</t>
  </si>
  <si>
    <t>V20
st37</t>
  </si>
  <si>
    <t>NYP15-02-01BON (redüktör adaptörü)</t>
  </si>
  <si>
    <t>NYP15-02-02 (adaptör kapağı)</t>
  </si>
  <si>
    <t>NYP15-16 (boğaz koniği hilali) 2 Adet'den oluşuyor.</t>
  </si>
  <si>
    <t>9 G 104.2</t>
  </si>
  <si>
    <t>9 G 104.1-2-3</t>
  </si>
  <si>
    <t>NYP-4 Pres kafes hidrolik açma ünitesi (arabasıyla) 2  adet/
Pres Kafes açma pistonu 1 adet /                                                  Pres Kafes açma piston aparatı 1 adet/</t>
  </si>
  <si>
    <t>NYP-4 SPC3600 V kayış 18 adet /         
NYP-4 Pres anahtarı 3 adet /                                                  NYP-4 Pres askı apatı 1 adet /                                                                 NYP-4 Şaryo 1 takım /                                                                                                                                                    NYP-4 Mil sıkma hidrolik somunu 1 adet /                                          NYP-4 Mil sıkma hidrolik pompası 1 adet /                                 NYP-4 Mil sıkma hidrolik pompa aparatı ve kolu 3 parça /</t>
  </si>
  <si>
    <t>NYP-4 Pres Soğutma ünitesi (Hortumları ile beraber)3 adet /</t>
  </si>
  <si>
    <t>Ana Dişli Kutusu Elastik Kaplin Muhafaza Sacı</t>
  </si>
  <si>
    <t>Toplama Konveyörü st37</t>
  </si>
  <si>
    <t xml:space="preserve"> OR 031-2007
Prodex</t>
  </si>
  <si>
    <t>7 F 103</t>
  </si>
  <si>
    <t>1 D 655</t>
  </si>
  <si>
    <t>Steam Condensate Seperator</t>
  </si>
  <si>
    <t>800x1600 Vals Topu Köşe Taşlama Aparatı ve motoru(Akuple) 1 adet, Taş 3 adet, bağlantı parçaları 1 takım /</t>
  </si>
  <si>
    <t>NYP30-04-03 Kafes içi Hilali (2 Adet 1 takım oluyor)</t>
  </si>
  <si>
    <t>NYP30-04-07 (sıyırgı bıçağı-2L)-Rev1 (1 Tk. da 1 adet)</t>
  </si>
  <si>
    <t>NYP30-04-08 Sıyırgı Bıçağı-2R (1 Tk. 1 adet)</t>
  </si>
  <si>
    <t>NYP30-04-06 Sıyırgı Bıçağı-1 (1 Tk. 10 adet)</t>
  </si>
  <si>
    <t>NYP30-04-10 Sıyırgı Bıçağı-3R (1 Tk. 1 adet)</t>
  </si>
  <si>
    <t>NYP30-04-09 Sıyırgı Bıçağı-3L (1 Tk. 1 adet)</t>
  </si>
  <si>
    <t>NYP30-04-11 Sıyırgı Bıçağı-4 (1 Tk. 2 adet)</t>
  </si>
  <si>
    <t>NYP30-04-12 Sıyırgı Bıçağı-5 (1 Tk. 2 adet)</t>
  </si>
  <si>
    <t>NYP30-04-13 Sıyırgı bıçağı-6 (1 Tk. 2 adet)</t>
  </si>
  <si>
    <t>NYP30-04-14 (sıyırgı bıçağı-7) (1 Tk. 2 adet)</t>
  </si>
  <si>
    <t>NYP30-04-15 Sıyırgı Bıçağı-8 (1 Tk. 2 adet)</t>
  </si>
  <si>
    <t>NYP30-04-16 Sıyırgı bıçağı-9 (1 Tk. 2 adet)</t>
  </si>
  <si>
    <t>OR 014-2014 Konya Şeker</t>
  </si>
  <si>
    <t>NYP30-03-03 Helezon-1</t>
  </si>
  <si>
    <t>NYP30-03-04 Helezon-2</t>
  </si>
  <si>
    <t>NYP30-03-05 Helezon-3 Hatve=148 (Standart Tip)</t>
  </si>
  <si>
    <t>800x1600 Vals Topu Köşe Taşlama Yedek Taşı</t>
  </si>
  <si>
    <t>Hassas Sayım Kantarı</t>
  </si>
  <si>
    <t>800x1600 Vals Topu Silindir (Boy) Taşlama Gövdesi - Talaşlı imalat öncesi</t>
  </si>
  <si>
    <t>800x1600 Vals Topu Silindir (Boy) Taşlama Yedek Taşı</t>
  </si>
  <si>
    <t>OR 010-2014 Doğa Gıda</t>
  </si>
  <si>
    <t>Plastik Titreşim Takozları 8 adet , Kırma Anahtarı 4 adet,
Şim Sacları 12 adet</t>
  </si>
  <si>
    <t>3F01B</t>
  </si>
  <si>
    <t>AISI 304</t>
  </si>
  <si>
    <t>OR 016-2014 Trakya Birlik</t>
  </si>
  <si>
    <t>3F01B Buffer Tank AISI 304 (Rafine İçin)</t>
  </si>
  <si>
    <t>RUSYA İÇİN YEDEK PARÇA İSİMLERİ</t>
  </si>
  <si>
    <t>Efko Rusya</t>
  </si>
  <si>
    <t>Kasa
Case / ящик</t>
  </si>
  <si>
    <t xml:space="preserve">LAG-E00024W 100 Kesici Silindir (D300x1300 Kırma) 175 DİŞ
Rolls of Soy Crusher 1 pc./                                                                        Baльцьı для  дpcбилки 1 шт. /   </t>
  </si>
  <si>
    <r>
      <rPr>
        <b/>
        <sz val="10"/>
        <rFont val="Arial"/>
        <family val="2"/>
        <charset val="162"/>
      </rPr>
      <t>S</t>
    </r>
    <r>
      <rPr>
        <sz val="10"/>
        <rFont val="Arial"/>
        <family val="2"/>
        <charset val="162"/>
      </rPr>
      <t>300x1300 Tek Kademeli Kırma Makinası</t>
    </r>
  </si>
  <si>
    <t>Paket</t>
  </si>
  <si>
    <t>240x400mm EPDM Titreşim önleyici plaka 4 adet,
60x60mm EPDM Titreşim önleyici plaka 4 adet
KM15 Anahtarı 1 adet
KM6 Anahtarı 1 adet
(KM17 / KM20) Anahtarı 1 adet
Şim Sacları 2 adet</t>
  </si>
  <si>
    <t>Sayım Terazisi</t>
  </si>
  <si>
    <t>9 G 104</t>
  </si>
  <si>
    <t>Doğa Gıda Garanti Kapsamı Değiştirme</t>
  </si>
  <si>
    <t>Rotary Vana (Motor,Zincir,Dişli vs Hariç) HUM 1 Adet 300 Kg)
Paket içinde 8,5 kg :
1" Zincir 1600 mm (Tekli) 1 adet
1" Zincir Kiliti 1 adet
1" 18 Diş Zincir Dişlisi 1 adet
Mesafe Burcu 1 adet
M16 Cıvata+somun+pul (1 Takım) 3 parça</t>
  </si>
  <si>
    <t>V75
st37</t>
  </si>
  <si>
    <t>20 G 02.1</t>
  </si>
  <si>
    <t>20 G 02.2</t>
  </si>
  <si>
    <t>20 G 02.3</t>
  </si>
  <si>
    <t>20 G 02.4</t>
  </si>
  <si>
    <t>20 G 02.5</t>
  </si>
  <si>
    <t>20 G 02.6</t>
  </si>
  <si>
    <t>OR 015-2014
Aves Soya</t>
  </si>
  <si>
    <t>30 G 03.1</t>
  </si>
  <si>
    <t>30 G 03.2</t>
  </si>
  <si>
    <t>30 G 03.3</t>
  </si>
  <si>
    <t>OR 014-2014
Konya Şeker</t>
  </si>
  <si>
    <t>40 D 201</t>
  </si>
  <si>
    <t>40 E 220</t>
  </si>
  <si>
    <t>40 E 221</t>
  </si>
  <si>
    <t>40 G 261</t>
  </si>
  <si>
    <t>40 D 302</t>
  </si>
  <si>
    <t>40 E 303</t>
  </si>
  <si>
    <t>Atık Su Desolventizeri, Paslanmaz 1.4301</t>
  </si>
  <si>
    <t>40 E 308</t>
  </si>
  <si>
    <t>Atık Su Ön Isıtıcısı,
(gövde, borular ve boru plakaları ; paslanmaz 1.4301)</t>
  </si>
  <si>
    <t>40 F 301</t>
  </si>
  <si>
    <t>40 F 305</t>
  </si>
  <si>
    <t xml:space="preserve">40 F 321/
40 D 410 </t>
  </si>
  <si>
    <t>Kondens Buhar Tankı, paslanmaz 1.4301 / 
Yüksek Vakum Kolonu, paslanmaz 1.4301</t>
  </si>
  <si>
    <t>40 D 406
40 D 408</t>
  </si>
  <si>
    <t>40 E 402</t>
  </si>
  <si>
    <t>40 E 403</t>
  </si>
  <si>
    <t>Alçalan Film Evaporatör Ekonomizeri, 
(gövde, borular, boru plakaları, alt bölümde genişleme parçası ; paslanmaz 1.4301 , konik sprey nozül ; paslanmaz 1.4404)</t>
  </si>
  <si>
    <t>40 E 405</t>
  </si>
  <si>
    <t>40 E 407</t>
  </si>
  <si>
    <t>40 E 451</t>
  </si>
  <si>
    <t>Vakum Ana Kondenseri
(gövde, borular ve boru plakaları ; paslanmaz 1.4301)</t>
  </si>
  <si>
    <t>40 E 453</t>
  </si>
  <si>
    <t>Kolon Kondenseri
(gövde, borular ve boru plakaları; paslanmaz 1.4301)</t>
  </si>
  <si>
    <t>40 E 456</t>
  </si>
  <si>
    <t>40 E 457</t>
  </si>
  <si>
    <t>40 E 471</t>
  </si>
  <si>
    <t>Ekstraksiyon İçin Atık Hava Soğutucusu
(gövde, borular ve boru plakaları; paslanmaz 1.4301)</t>
  </si>
  <si>
    <t>40 E 472</t>
  </si>
  <si>
    <t>40 D 652</t>
  </si>
  <si>
    <t>40 D 654</t>
  </si>
  <si>
    <t>Buhar Tutucu Siklon , paslanmaz 1.4301</t>
  </si>
  <si>
    <t>40 D 701
40 F 722</t>
  </si>
  <si>
    <t>40 D 705</t>
  </si>
  <si>
    <t>40 D 711</t>
  </si>
  <si>
    <t>40 E 704</t>
  </si>
  <si>
    <t>Vals Hidrolik Ünitesi 2 adet,
Plastik titreşim takozları 24 adet,
Hidrolik yağ hortumları 2 adet,
Vals anahtarı 4 adet,
Şim sacları 16 adet,
Vals köşe taşlama aparatı (1,5 kw motorlu akuple) 1 adet,
Yedek taşlama taşı 1 adet</t>
  </si>
  <si>
    <r>
      <t xml:space="preserve">Konveyör Zinciri 42 Mt.(7 Mt.Boyunda 6 Adet)
Zincir Düz Bakla Yedeği 1 Adet
Zincir Paletli Bakla Yedeği 1 Adet
Birleştirme Pimi 8 Adet
</t>
    </r>
    <r>
      <rPr>
        <sz val="10"/>
        <rFont val="Arial Tur"/>
        <charset val="162"/>
      </rPr>
      <t>Ø</t>
    </r>
    <r>
      <rPr>
        <sz val="10"/>
        <rFont val="Arial"/>
        <family val="2"/>
        <charset val="162"/>
      </rPr>
      <t xml:space="preserve">10 mm Yarıklı Pim 8 Adet
</t>
    </r>
    <r>
      <rPr>
        <sz val="10"/>
        <rFont val="Arial Tur"/>
        <charset val="162"/>
      </rPr>
      <t>Ø</t>
    </r>
    <r>
      <rPr>
        <sz val="10"/>
        <rFont val="Arial"/>
        <family val="2"/>
        <charset val="162"/>
      </rPr>
      <t>6 mm Yarıklı Pim 8 Adet</t>
    </r>
  </si>
  <si>
    <t>1 G 261.1</t>
  </si>
  <si>
    <t>OR 007-2014
Yonca Gıda</t>
  </si>
  <si>
    <t>Redüksiyonlu Bunker (A)</t>
  </si>
  <si>
    <t>2 Bölmeli Bunker (B)</t>
  </si>
  <si>
    <t>2 Bölmeli Bunker (C )</t>
  </si>
  <si>
    <t>3 Bölmeli Bunker (D)</t>
  </si>
  <si>
    <t>Küspe Çıkış Bunkeri</t>
  </si>
  <si>
    <t>Redüksiyonlu Bunker (A) (AISI304)</t>
  </si>
  <si>
    <t>2 Bölmeli Bunker (B) (AISI304)</t>
  </si>
  <si>
    <t>2 Bölmeli Bunker (C ) (AISI304)</t>
  </si>
  <si>
    <t>3 Bölmeli Bunker (D) (AISI304)</t>
  </si>
  <si>
    <t>Küspe Çıkış Bunkeri (AISI304)</t>
  </si>
  <si>
    <t>Redüksiyonlu Bunker (A) (St37)</t>
  </si>
  <si>
    <t>2 Bölmeli Bunker (B) (St37)</t>
  </si>
  <si>
    <t>2 Bölmeli Bunker (C ) (St37)</t>
  </si>
  <si>
    <t>3 Bölmeli Bunker (D) (St37)</t>
  </si>
  <si>
    <t>Küspe Çıkış Bunkeri (St37)</t>
  </si>
  <si>
    <t>FS816-800x1600 Pullama Valsi Makinesi Yedirici (İŞLENMEMİŞ) st37/Karbon Çeliği</t>
  </si>
  <si>
    <t>FS816-800x1600 Pullama Valsi Gövde (İŞLENMEMİŞ) 
st37/Karbon Çeliği</t>
  </si>
  <si>
    <t>FS816-800x1600 Pullama Valsi Makinesi Hidrolik Bağlantı Parçası (İŞLENMEMİŞ) st37/Karbon Çeliği 1 adet</t>
  </si>
  <si>
    <t>FS816-800x1600 Pullama Valsi Makinesi Hidrolik Bağlantı Parçası (İŞLENMEMİŞ) st37/Karbon Çeliği 3 taneden her biri</t>
  </si>
  <si>
    <t>FS816-800x1600 Pullama Valsi Makinesi Hidrolik Bağlantı Parçası (İŞLENMEMİŞ) st37/Karbon Çeliği 2 taneden her biri</t>
  </si>
  <si>
    <t>KS/KD313-300*1300 1-2.Kademe Kırma Makinesi, Gövde
ST37/karbon çeliği (İŞLENMEMİŞ) 2 adet her biri</t>
  </si>
  <si>
    <t>KS/KD313-300*1300 1-2.Kademe Kırma Makinesi, Gövde
ST37/karbon çeliği (İŞLENMEMİŞ) 1 adet</t>
  </si>
  <si>
    <t>KS/KD313-300*1300 1-2.Kademe Kırma Makinesi, Yedirici
ST37/karbon çeliği (İŞLENMEMİŞ) 2 adet her biri</t>
  </si>
  <si>
    <t>KS/KD313-300*1300 1-2.Kademe Kırma Makinesi, Yedirici
ST37/karbon çeliği (İŞLENMEMİŞ) 3 adet her biri</t>
  </si>
  <si>
    <t>Kayan Hücreli Ekstrakör Kaldırma Aparatı, St37,</t>
  </si>
  <si>
    <t>Zincirli Konveyör Palet (st37)  54 Adet</t>
  </si>
  <si>
    <t>Zincirli Konveyör Palet (st37)  46 Adet</t>
  </si>
  <si>
    <t>Zincirli Konveyör Palet (st37) (13 Adeti Yedektir) 60 Adet</t>
  </si>
  <si>
    <t>Kasa1</t>
  </si>
  <si>
    <t>Kasa2</t>
  </si>
  <si>
    <t>Kasa3</t>
  </si>
  <si>
    <t>40-66 SP 11</t>
  </si>
  <si>
    <t>20 SP 01</t>
  </si>
  <si>
    <t>(1L00123) Ø4420 mm / 300 mm Göbek Toaster Kanat 
(1 tk:980 Kg) Toplam 5 Takım</t>
  </si>
  <si>
    <t>(1L00123) Ø4420 mm / 500 mm Göbek Toaster Kanat 
(1 tk:1314 Kg) Toplam 2 Takım</t>
  </si>
  <si>
    <t>(1L00124) Ø4920 mm / 300 mm Göbek Toaster Kanat 
(1 tk:1060 Kg) Toplam 2 Takım</t>
  </si>
  <si>
    <r>
      <t xml:space="preserve">Toaster Ana Mil (30600) </t>
    </r>
    <r>
      <rPr>
        <sz val="9"/>
        <rFont val="Arial Tur"/>
        <charset val="162"/>
      </rPr>
      <t>Ø300 mm 
L=5076 mm / L=6100 mm / L=6144 mm (Kamalar Dahil)</t>
    </r>
  </si>
  <si>
    <t>ESMER TORNA TARTIM</t>
  </si>
  <si>
    <t>Misella Ön-Isıtıcı, 
(gövde, borular, boru plakaları 1.4301) (Semerli)</t>
  </si>
  <si>
    <t>Yükselen Film Evaporatörü  (Ahşap Semer)
(gövde, borular ve boru plakaları ; paslanmaz 1.4301)</t>
  </si>
  <si>
    <t>Yağ Ön Isıtıcısı, paslanmaz 1.4301 (Ahşap Semer)</t>
  </si>
  <si>
    <t>Karıştırma Kondenseri , paslanmaz 1.4301 (Tek Metal Semer)</t>
  </si>
  <si>
    <t>Atık Hava Soğutucusu (Ahşap Semerli)
(gövde, borular ve boru plakaları; paslanmaz 1.4301)</t>
  </si>
  <si>
    <t>Yükselen Film Evaporatörü 
(gövde ve borular ; paslanmaz 1.4301) (Ahşap Semerli)</t>
  </si>
  <si>
    <t>Solvent Ön Isıtıcısı (Semerli)
(boru plakaları ve gövde karbon çeliği ; borular 1.4301</t>
  </si>
  <si>
    <r>
      <t xml:space="preserve">Sonsuz Zincir Mekanizması Part2 - 1 Takım
Zincir Tekerlek 12 Adet
Zincir Pim 12 Adet
</t>
    </r>
    <r>
      <rPr>
        <sz val="10"/>
        <rFont val="Arial Tur"/>
        <charset val="162"/>
      </rPr>
      <t>Ø</t>
    </r>
    <r>
      <rPr>
        <sz val="10"/>
        <rFont val="Arial"/>
        <family val="2"/>
        <charset val="162"/>
      </rPr>
      <t>60xØ30x10 mm Zincir Rondelası 13 Adet
Ø60xØ35,5x4 mm Zincir Rondelası 10 Adet
Ø8x90 AISI304 Zincir Gupilyası 18 Adet
Ø25 Zincir Mil Segmanı 14 Adet</t>
    </r>
  </si>
  <si>
    <t>Sonsuz Zincir Mekanizması Part5</t>
  </si>
  <si>
    <t>Sonsuz Zincir Mekanizması Part6</t>
  </si>
  <si>
    <t>V75</t>
  </si>
  <si>
    <t>Over Size</t>
  </si>
  <si>
    <t>40 G 664.1</t>
  </si>
  <si>
    <t>G 664.1 Dönel Vana ; Paslanmaz (Exproof Motor-Redüktör ile)</t>
  </si>
  <si>
    <t>40 G 664.2</t>
  </si>
  <si>
    <t>G 664.2 Dönel Vana ; Paslanmaz (Exproof Motor-Redüktör ile)</t>
  </si>
  <si>
    <t>40 G 673</t>
  </si>
  <si>
    <t>G 673 Dönel Vana, Paslanmaz (Exproof Motor-Redüktör ile)</t>
  </si>
  <si>
    <t>TM TARTIM</t>
  </si>
  <si>
    <t>NORM MAK. TARTIM</t>
  </si>
  <si>
    <t>40G651.
1/2</t>
  </si>
  <si>
    <t>40 D 312
40 F 323</t>
  </si>
  <si>
    <t>Misella Ön-Isıtıcıları, paslanmaz 1.4301</t>
  </si>
  <si>
    <t>Buhar Separatörü (Kondens Ayırıcı) P265GH 
(2 Adet Ayaklar üzerine takılacak)</t>
  </si>
  <si>
    <t>Buhar Separatörü (Kondens Ayırıcı) 1 Adet
Tayıcı Ayak 2 Adet</t>
  </si>
  <si>
    <t>Toaster Tek Kollu Kanat</t>
  </si>
  <si>
    <t>Toaster Alt Yataklama</t>
  </si>
  <si>
    <t>Toaster Ara Yataklamalar</t>
  </si>
  <si>
    <t>Hidro-siklon, Paslanmaz 1.4301 - 2 Adet (25/Adet)
Su Sifonu ; paslanmaz 1.4301 - 1 Adet (45 Kg)</t>
  </si>
  <si>
    <t>40 D 201.6</t>
  </si>
  <si>
    <t>Desolventizer-Isıtıcı-Kurutucu-Soğutucu DTDC 4500-5000 ; 
(9 katlı) (Kanatlar, Miller ve Yataklamalar, 3 adet Rotary Hariç) 1 Adet Rotary Dahil</t>
  </si>
  <si>
    <t>40 D 652.6</t>
  </si>
  <si>
    <t>S 300x1300 1.Kademe Kırma Makinesi,</t>
  </si>
  <si>
    <t>S 300x1300 2.Kademe Kırma Makinesi,</t>
  </si>
  <si>
    <t>S 800x1600 Pullama Valsi</t>
  </si>
  <si>
    <t>40 D 652-4-5-7</t>
  </si>
  <si>
    <t>Toaster Üst Yataklama</t>
  </si>
  <si>
    <t>Solvent Su Separatörü. Paslanmaz 1.4301 (Semerli)</t>
  </si>
  <si>
    <t>Tam Misella Tankı, paslanmaz 1.4301 (Semerli)</t>
  </si>
  <si>
    <t>Solvent İş Tankı, paslanmaz 1.4301 (Semerli)</t>
  </si>
  <si>
    <t>GÜMRÜK EVRAĞI</t>
  </si>
  <si>
    <t>40 F 3001.1</t>
  </si>
  <si>
    <t>Yer Altı Hekzan Stok Tankı</t>
  </si>
  <si>
    <t>40 F 3002.2</t>
  </si>
  <si>
    <t>40 F 3002.3</t>
  </si>
  <si>
    <t>40 D 663.1</t>
  </si>
  <si>
    <t>40 D 663.2</t>
  </si>
  <si>
    <t xml:space="preserve">40 D 672     </t>
  </si>
  <si>
    <t>Absorpsiyon Kolonu/
Mineral Yağ Tankı</t>
  </si>
  <si>
    <t>Vakum Stripping Kolonu</t>
  </si>
  <si>
    <t>Absorpsiyon Kolonu</t>
  </si>
  <si>
    <t>Flaş Deposu / 
Destilasyon Kolonu</t>
  </si>
  <si>
    <t>40 D 406
40 D 408
40 D 701
40 F 722
40 D 705
40 D 711</t>
  </si>
  <si>
    <t>40 D 406/40 D 408 Kolon Izgaraları 3 Parça
40 D 701/40 F 722 Kolon Izgaraları 12 Parça
40 D 701/40 F 722 Perface Sacı 12 Parça
40 D 705 Kolon Izgaraları 12 Parça
40 D 705 Perface Sacı 12 Parça
40 D 711 Kolon Izgara 8 Parça
40 D 711 Perface Sacı 8 Parça
40D406/40D408,40D701/40F722,40D705 Sabitleme Ayakları 3 Adet
40D406/40D408,40D701/40F722,40D705 Şase Plaka Sacları  6 Adet</t>
  </si>
  <si>
    <t>OR 028-2014
Zvezda</t>
  </si>
  <si>
    <t>3500x9 Tava Nem Bacası</t>
  </si>
  <si>
    <t>Elastik Kaplin RBS 800 (NYT 3500) 1/2</t>
  </si>
  <si>
    <t>OR 028-2014
ZVEZDA</t>
  </si>
  <si>
    <t>Fan</t>
  </si>
  <si>
    <t>T&amp;M</t>
  </si>
  <si>
    <t>OR028-2014
ZVEZDA</t>
  </si>
  <si>
    <t xml:space="preserve">Tortulu Yağ Eleği </t>
  </si>
  <si>
    <t>set</t>
  </si>
  <si>
    <t>3500x9 Tava</t>
  </si>
  <si>
    <t>NYP-60
AISI 304</t>
  </si>
  <si>
    <t>NYK 2600x6 Kondisyoner Buhar Bacası</t>
  </si>
  <si>
    <t>NYK 2600x6 Kondisyoner Nem Alma Bacası</t>
  </si>
  <si>
    <t>NYT3000x7 Tava</t>
  </si>
  <si>
    <t>NYT3000x7 Tava Kaldırma Aparatı</t>
  </si>
  <si>
    <t>OR 005-2015
Klas Olio</t>
  </si>
  <si>
    <t>NYT3000x7 Nem Alma Bacası</t>
  </si>
  <si>
    <t>Elastik Kaplin RBS 500 (NYT 3000x7) 1/2</t>
  </si>
  <si>
    <t>NYP 30 Pres Kasnak Koruması</t>
  </si>
  <si>
    <t>NYP30 Pres Soğutma ünitesi (Hortumları ile beraber)</t>
  </si>
  <si>
    <t>NYP30 Elektrik PLCPanosu</t>
  </si>
  <si>
    <t>NYP30 SPC 3700 V kayış 8 adet
NYP30 SPC 3700 V kayış (Yedek) 8 adet
NYP30 Pres anahtarı 2 adet
NYP30 Pres askı aparatı 1 adet
NYP30 Pres Mil askı aparatı kolu 2 Adet
NYP30 Kafes Pnömatik Somun sıkma makinası 1 adet
NYP30 Kafes Pnömatik Somun AA70 lokması 1 adet
NYP30 Mil sıkma hidrolik somunu 1 adet
NYP30 Mil sıkma hidrolik pompası 1 adet
NYP30 Hidrolik mil sıkma pompa hortumları 2 Adet
NYP30 Mil sıkma hidrolik pompa aparatı ve kolu 3 parça
NYP30 Şaryo 2 adet
NYT3000x7 Gözlem camları 7 adet
NYT3000x7 Gözlem cam contaları 14 adet</t>
  </si>
  <si>
    <t>NYP60 Pres hidrolik kafes açma ünite ve arabası 2 Prç
NYP-60 Pres Hidrolik Ünite Bağlantı Hortumu 2 Adet
NYP-60Pres Kafes açma pistonu 1 adet
NYP-60 Pres Kafes açma piston aparatı 1 adet</t>
  </si>
  <si>
    <t>NYP60 Pres hidrolik kafes açma ünite ve arabası 2 Prç
NYP60 Pres Hidrolik Ünite Bağlantı Hortumu 2 Adet
NYP60Pres Kafes açma pistonu 1 adet
NYP60 Pres Kafes açma piston aparatı 1 adet</t>
  </si>
  <si>
    <t>OR 003-2015
Altınyağ</t>
  </si>
  <si>
    <r>
      <t xml:space="preserve">NYT35-9 </t>
    </r>
    <r>
      <rPr>
        <sz val="10"/>
        <rFont val="Arial Tur"/>
        <charset val="162"/>
      </rPr>
      <t>Ø</t>
    </r>
    <r>
      <rPr>
        <sz val="10"/>
        <rFont val="Arial"/>
        <family val="2"/>
        <charset val="162"/>
      </rPr>
      <t>3500x9 Pişirme Tavası</t>
    </r>
  </si>
  <si>
    <r>
      <t xml:space="preserve">NYT35-9 </t>
    </r>
    <r>
      <rPr>
        <sz val="10"/>
        <rFont val="Arial Tur"/>
        <charset val="162"/>
      </rPr>
      <t>Ø</t>
    </r>
    <r>
      <rPr>
        <sz val="10"/>
        <rFont val="Arial"/>
        <family val="2"/>
        <charset val="162"/>
      </rPr>
      <t>3500x9 Pişirme Tava Kaldırma Aparat</t>
    </r>
  </si>
  <si>
    <t>NYT35-9 Ø3500x9 Pişirme Tavası Nem Bacası</t>
  </si>
  <si>
    <t>NYT35-9 Ø3500x9 Pişirme Tava Elastik Kaplini RBS800 1/2</t>
  </si>
  <si>
    <t>NYT35-9 Ø3500x9 Pişirme Tava Elastik Kaplin Koruması</t>
  </si>
  <si>
    <r>
      <t xml:space="preserve">NYK26-6 </t>
    </r>
    <r>
      <rPr>
        <sz val="10"/>
        <rFont val="Arial Tur"/>
        <charset val="162"/>
      </rPr>
      <t>Ø</t>
    </r>
    <r>
      <rPr>
        <sz val="10"/>
        <rFont val="Arial"/>
        <family val="2"/>
        <charset val="162"/>
      </rPr>
      <t xml:space="preserve">2600x6 Kondisyoner </t>
    </r>
    <r>
      <rPr>
        <sz val="10"/>
        <color indexed="10"/>
        <rFont val="Arial"/>
        <family val="2"/>
        <charset val="162"/>
      </rPr>
      <t>(Redüktör+Motor Dahil)</t>
    </r>
  </si>
  <si>
    <t>NYK26-6 Ø2600x6 Kondisyoner Buhar Bacası</t>
  </si>
  <si>
    <t>NYK26-6 Ø2600x6 Kondisyoner Nem Alma Bacası 
(Klapeli)</t>
  </si>
  <si>
    <t>NYK26-6 Ø2600x6 Kondisyoner Rotary Valf Redüktörlü Motoru</t>
  </si>
  <si>
    <t>FS821 800x2100 Vals Silindiri (Yedek)</t>
  </si>
  <si>
    <t>KD313 300x1300 Kırma Kesici Silindir 175 Diş (Yedek) 1 Ad.
KD313 300x1300 Kırma Tutucu Silindir 175 Diş (Yedek) 1 Ad.</t>
  </si>
  <si>
    <t>KD313 300x1300 Kırma Kesici Silindir 325 Diş (Yedek) 1 Ad
KD313 300x1300 Kırma Tutucu Silindir 325 Diş (Yedek) 1 Ad.</t>
  </si>
  <si>
    <t>KD313 300x1300 İki Kademeli Kırma</t>
  </si>
  <si>
    <t>1,1 Kw Redüktörlü Motor 1 Adet
2,2 Kw Redüktörlü Motor 1 Adet</t>
  </si>
  <si>
    <t>KS 00 Kondisyoner Siklonu</t>
  </si>
  <si>
    <t>Ayarlı Klape 4 Adet (Kondisyoner)
Numune Alma Aparatı 1 Adet</t>
  </si>
  <si>
    <t>FS821 800x2100 Vals</t>
  </si>
  <si>
    <r>
      <rPr>
        <b/>
        <sz val="10"/>
        <rFont val="Arial"/>
        <family val="2"/>
        <charset val="162"/>
      </rPr>
      <t>FS821 800x2100 Vals Enstürümanları</t>
    </r>
    <r>
      <rPr>
        <sz val="10"/>
        <rFont val="Arial"/>
        <family val="2"/>
        <charset val="162"/>
      </rPr>
      <t xml:space="preserve">
SPC L=5100 mm Kayış (Yedek) 10 adet
SPC L=6100 mm Kayış (Yedek) 10 adet
Disk Yaylar 125x71x6 mm (Yedek) 40 Adet
Plastik titreşim takozları 22 adet,
Vals anahtarı 2 adet,
Seviye Şalteri PFG05-ATFV-1122-220V AC 50Hz 1 Adet
Vals Topu Kaldırma Aparatı 1 Adet</t>
    </r>
  </si>
  <si>
    <t>Vals Hidrolik Ünite 1 Adet
Hidrolik Ünite Hortumları 6 Adet</t>
  </si>
  <si>
    <t>Numune Alma Aparatı</t>
  </si>
  <si>
    <t>FS821 800x2100 Vals Kaldırma Aparatı</t>
  </si>
  <si>
    <t>Ayarlı Klapeler</t>
  </si>
  <si>
    <t>KD313 300x1300 İki Kademeli Gövde (Kaynaklı İmalat</t>
  </si>
  <si>
    <t>KD313 300x1300 İki Kademeli Kırma Yedirici (Kaynaklı İmalat)</t>
  </si>
  <si>
    <t>FS821 800x2100 Vals Gövde (Kaynaklı imalat)</t>
  </si>
  <si>
    <t>FS821 800x2100 Vals Yedirici Gövde (Talaşlı imalat)</t>
  </si>
  <si>
    <t>S400x1600 Kırma Gövde (Kaynaklı İmalatı)</t>
  </si>
  <si>
    <t>S400x1600 Kırma Yedirici Gövde (Kaynaklı İmalatı)</t>
  </si>
  <si>
    <t>Kırma Kaldırma Aparatı</t>
  </si>
  <si>
    <t>KS416-400x1600 Tek Kademeli Kanola Kırma Makinesi
(Bitmiş Hali)</t>
  </si>
  <si>
    <t>Toaster A Nozülü (Mal Giriş Nozülü)
(Ø3000 Desolventizer - Toaster- Cooler)</t>
  </si>
  <si>
    <t>Toaster B Nozülü (Buhar Ulaşma Çıkışı)
(Ø3000 Desolventizer - Toaster- Cooler)</t>
  </si>
  <si>
    <t>Toaster M Nozülü (Havalandırma)
(Ø3000 Desolventizer - Toaster- Cooler)</t>
  </si>
  <si>
    <t>OR 011-2015
OR 013-2015</t>
  </si>
  <si>
    <t>ANAR
SIRIUS</t>
  </si>
  <si>
    <t>Zincirli Konveyör Ana Tahrik 
(11 KW, 36 d/d MV673-160M/4; Exproof Motorlu Redüktör ile)</t>
  </si>
  <si>
    <t>Zincir Konveyör Ara Bağlantı Gövdesi Part1</t>
  </si>
  <si>
    <t>Zincir Konveyör Ara Bağlantı Gövdesi Part2</t>
  </si>
  <si>
    <t>Zincir Konveyör Ara Bağlantı Gövdesi Part3</t>
  </si>
  <si>
    <r>
      <t>Zincir Konveyör Dönüş Kısmı Gövdesi 69</t>
    </r>
    <r>
      <rPr>
        <sz val="10"/>
        <rFont val="Arial Tur"/>
        <charset val="162"/>
      </rPr>
      <t>º</t>
    </r>
  </si>
  <si>
    <t>Zincir Konveyör Küspe Giriş Gövdesi</t>
  </si>
  <si>
    <t>Zincir Konveyör Redüksiyon Bağlantı Gövdesi</t>
  </si>
  <si>
    <t>Zincir Konveyör Gerdirme Kısmı Gövdesi</t>
  </si>
  <si>
    <t>Zincir Paletleri  Part1 - 52 Adet</t>
  </si>
  <si>
    <t>Zincir Paletleri  Part2 - 53 Adet</t>
  </si>
  <si>
    <t>1 G 261.1
TDE 722
TDE 723
TDE 724
TDE 725
1 E 705</t>
  </si>
  <si>
    <t>Zincirli Konveyör Zinciri (36 Metre) 1 Set
TDE722 Sifon 1 adet
TDE723 / TDE723-A Sifon 2 adet
TDE724 Sifon 1 adet
TDE725 Sifon 1 adet
1 E 705 Ekstraktör Atık Hava Soğutucusu - Ceketli Tip 1 Adet</t>
  </si>
  <si>
    <t>Dövme Metsan</t>
  </si>
  <si>
    <t>1 D 201.1</t>
  </si>
  <si>
    <t xml:space="preserve">1 D 201.9
1 D 201.2
</t>
  </si>
  <si>
    <t>Ekstraktör Bunker Montaj Sacları 21 Adet
Ekstraktör Tork Kolu 1 adet
Ekstraktör Tork Kolu Aparatı 1 Adet</t>
  </si>
  <si>
    <t>Solvent Ön Isıtıcısı</t>
  </si>
  <si>
    <t>Küspe Helezonu 
(MV573/132 S/4 5,5 kw Exproof Motorlu redüktörü ile)</t>
  </si>
  <si>
    <t>1 D 302
1 F 301</t>
  </si>
  <si>
    <t>Solvent Su Separatörü (F301 ile montajlı)
Solvent İş Tankı (D302 ile montajlı)</t>
  </si>
  <si>
    <t>1 E 303
1 F 321</t>
  </si>
  <si>
    <t>Atık Su Desolventizeri (F321 ile montajlı)
Kondens Buhar Tankı (E303 ile montajlı)</t>
  </si>
  <si>
    <t>Tam Misella Tankı</t>
  </si>
  <si>
    <t>1 D 406
1 E 405</t>
  </si>
  <si>
    <t>Flaş Deposu (E405 ile montajlı)
Yükselen Film Evaporatörü (D406 ile montajlı)</t>
  </si>
  <si>
    <t>Destilasyon Kolonu</t>
  </si>
  <si>
    <t>Yüksek Vakum Kolonu</t>
  </si>
  <si>
    <t>Alçalan Film Evaporatör Ekonomizeri</t>
  </si>
  <si>
    <t>Vakum Ana Konenseri</t>
  </si>
  <si>
    <t>Toaster Buhar Kondenseri</t>
  </si>
  <si>
    <t>Ekstraktör İçin Atık Hava Soğutucusu</t>
  </si>
  <si>
    <t>Toaster Giriş Rotary Vana
(MV373/100 L/4a 2,2 kw Exproof Motorlu redüktörü ile)</t>
  </si>
  <si>
    <t>Toaster Kaldırma Aparatı</t>
  </si>
  <si>
    <t>Toaster M Nozulü</t>
  </si>
  <si>
    <t xml:space="preserve">1 D 652.6 </t>
  </si>
  <si>
    <t>RBS630 Elastik Kaplin 1 Adet</t>
  </si>
  <si>
    <t>1 G 673</t>
  </si>
  <si>
    <t>Siklon Rotary Valfleri
(NV373/100 L/4a 2,2 kw Exproof Motorlu redüktörü ile)</t>
  </si>
  <si>
    <t>Apsorpsiyon Kolonu
Mineral Yağ Tankı (Paslanmaz</t>
  </si>
  <si>
    <t>Yükselen Film Evaporatörü</t>
  </si>
  <si>
    <t>1 E 220-1
1 E 220-2
1 E 407
1 E 402</t>
  </si>
  <si>
    <t>1 E 220 Misella Ön Isıtıcısı (Ceketli Tip1) 3 Adet
1 E 220 Misella Ön Isıtıcısı (Ceketli Tip2) 4 Adet
1 E 407 Yağ Ön Isıtıcısı 4 parça
1 E 402 Yağ Ön Isıtıcısı 1 Adet</t>
  </si>
  <si>
    <t>1 E 471-A</t>
  </si>
  <si>
    <t>Buhar Tutucu Siklon</t>
  </si>
  <si>
    <t>1 D 672.1</t>
  </si>
  <si>
    <t>Toz Siklonu Altı Gözetleme</t>
  </si>
  <si>
    <t>TARTILMADI</t>
  </si>
  <si>
    <r>
      <rPr>
        <b/>
        <sz val="10"/>
        <rFont val="Arial"/>
        <family val="2"/>
        <charset val="162"/>
      </rPr>
      <t>Ana Dişli Kutusu</t>
    </r>
    <r>
      <rPr>
        <sz val="10"/>
        <rFont val="Arial"/>
        <family val="2"/>
        <charset val="162"/>
      </rPr>
      <t xml:space="preserve">
Redüktör Şasesi 1 Adet (720 Kg)
Redüktörü 1 adet (1635 Kg)
Motoru 55 kw 1 adet (595 Kg)
Hidrolik Kaplini 1 adet</t>
    </r>
  </si>
  <si>
    <t xml:space="preserve">Kaplin Koruma </t>
  </si>
  <si>
    <t>Kanatlar</t>
  </si>
  <si>
    <t>Üst Yataklama</t>
  </si>
  <si>
    <t>Alt Yataklama</t>
  </si>
  <si>
    <t>Menholler</t>
  </si>
  <si>
    <t>Miller</t>
  </si>
  <si>
    <t>2 Parça Gövde</t>
  </si>
  <si>
    <t>Ø3000 Desolventizer - Toaster- Cooler (DTC) 
(3 Adet Rotary dahil) (Semerler 540 Kg)</t>
  </si>
  <si>
    <t>Rotary Valf (Gövde üzerindeki) 1 Adet ağırlık</t>
  </si>
  <si>
    <r>
      <t xml:space="preserve">M16x55 AKB Civata (Ekstraktör Kova) 450 Adet
M16x60 AKB Cıvata (Ekstraktör Kova) 150 Adet
M16x65 AKP Cıvata (Ekstraktör Kova) 270 Adet
M16 Fiberli Somun (Ekstraktör Kova) 1000 Adet
M12x50 AKB Civata (Zincirli Konveyör) 350 Adet
M12 Somun Zincirli Konveyör) 350 Adet
M12 Yaylı Rondela (Zincirli Konveyör) 350 Adet
Ekstraktör Ray Altı Şim Sacları Büyük (1-1,5-2 mm) 55 Takım
Ekstraktör Ray Altı Şim Sacları Küçük (1-1,5-2 mm) 6 Takım
Zincirli Konveyör Ayakları 6 Adet
20x20 Arostat Örgülü Salmastra (65 Metre) 1 Part
20x8 Grafit Amyantlı Salmastra (16 Metre) 1 Part)
14x5 Teflon Contalon (60 metre) 1 Part
L=300 Kova Şim Sacları 440 Adet
L=180 Kova Şim Sacları 220 Adet
L=194 Kova Şim Sacları 220 Adet
Ekstraktör Besleme Cihazı Tork Kolu 4 adet
Ekstraktör Gaz Ayrıştırma Aparatı 1 Adet
Ekstraktör Gözetleme Aparatı 1 Adet
1-58 Kova Numaraları (2 Takım) 1 Part
Ekstraktör Besleme Cihazı Motorlu Redüktörleri (1,1 Kw) 4 Adet
Ekstraktör Besleme Cihazı Redüktörlerine Ait Sabitleme Kaplinleri 4 Adet
M12x40 AKP Civata (Zincirli Konveyör Palet Balantı) 350 Adet
M12 Fiberli Somun (Zincirli Konveyör Palet Balantı) 350 Adet
M12 Yaylı Rondela 350 Adet
Extraktör Zincir Bağlantı Parçaları 1 Set
Termometre Nozulları 30 Adet
</t>
    </r>
    <r>
      <rPr>
        <sz val="7"/>
        <rFont val="Arial Tur"/>
        <charset val="162"/>
      </rPr>
      <t>Ø</t>
    </r>
    <r>
      <rPr>
        <sz val="7"/>
        <rFont val="Arial"/>
        <family val="2"/>
        <charset val="162"/>
      </rPr>
      <t xml:space="preserve">202 mm Gözetleme Camı 13 Adet
</t>
    </r>
    <r>
      <rPr>
        <sz val="7"/>
        <rFont val="Arial Tur"/>
        <charset val="162"/>
      </rPr>
      <t>Ø</t>
    </r>
    <r>
      <rPr>
        <sz val="7"/>
        <rFont val="Arial"/>
        <family val="2"/>
        <charset val="162"/>
      </rPr>
      <t>202 mm Gözetleme Cam Contası 26 Adet
Dişli (Toaster Siviç Ayar) 6 Adet
Zincir (Toaster Siviç Ayar) (3 Metre) 1 Part
M8x35 AKB Civata (Toaster Siviç Ayar) 12 Adet
M8 Somun (Toaster Siviç Ayar) 12 Adet
M8 Yaylı Rondela (Toaster Siviç Ayar) 12 Adet
Şim Sacı (Toaster Siviç Ayar) 6 Adet</t>
    </r>
  </si>
  <si>
    <t>Konveyör Zinciri (8,10 Mt. Boylarında) 4 Adet
Zincir Düz Bakla Yedeği 4 Adet
Zincir Paletli Bakla Yedeği 3 Adet
Birleştirme Pim Yedeği 20 Adet
Birleştirme Pul Yedeği 35 Adet
Birleştirme Gupilya Yedeği 20 Adet</t>
  </si>
  <si>
    <t>Konveyör Zinciri (8,10 Mt. Boylarında) 3 Adet
Konveyör Zinciri (7,25 Mt. Boylarında) 1 Adet</t>
  </si>
  <si>
    <t>Kasnak Koruma ve Aparatları</t>
  </si>
  <si>
    <t>Zincirli Konveyör için;
M10x45 Cıvata (AKB) 300 Adet
M10 Somun (AKB) 300 Adet
M10 Pul (AKB) 300 Adet
M12x50 Cıvata (AKB) 600 Adet
M12 Somun (AKB) 600 Adet
M12 Pul (AKB) 600 Adet
14x5 Contalon (60 Metre) 1 Adet
Gözetleme Cam+Contaları 2 Takım
1 1/2" 3 Sıra Zincir 5 Metre - 1 Adet</t>
  </si>
  <si>
    <t>Zincirli Konveyör Ana Tahrik Kısmı</t>
  </si>
  <si>
    <t>Zincir Konveyör Ara Modüller (Modül-1)</t>
  </si>
  <si>
    <t>Zincir Konveyör Ara Modüller (Modül-2)</t>
  </si>
  <si>
    <t>Zincir Konveyör Ara Modüller (Modül-3)</t>
  </si>
  <si>
    <t>Zincir Konveyör Ara Modüller (Modül-4)</t>
  </si>
  <si>
    <t>Zincir Konveyör Ara Modüller (Modül-5)</t>
  </si>
  <si>
    <t>Zincir Konveyör Ara Modüller (Modül-6)</t>
  </si>
  <si>
    <t>Zincir Konveyör Küspe Giriş</t>
  </si>
  <si>
    <t>Zincir Konveyör Redüksiyon Ara Bağlantı</t>
  </si>
  <si>
    <t>Zincirli Konveyör Motorlu Redüktörü
(22 Kw, 36 d/d (İ:39,33) MV773-180L4; FS 1,4 I EC B5)</t>
  </si>
  <si>
    <t>V75
AISI304</t>
  </si>
  <si>
    <t>NYT35-10 Pişirme Tava Nem Bacası</t>
  </si>
  <si>
    <t>Elastik Kaplin RBS 800 (NYT35-10) 1/2
800'lük Perno Poliüretan Lastiği (Yedek) 16 Adet</t>
  </si>
  <si>
    <t>NYT35-10 Tava Redüktörü Elastik Kaplin Koruması</t>
  </si>
  <si>
    <r>
      <t xml:space="preserve">NYT35-10 </t>
    </r>
    <r>
      <rPr>
        <sz val="10"/>
        <rFont val="Arial Tur"/>
        <charset val="162"/>
      </rPr>
      <t>Ø</t>
    </r>
    <r>
      <rPr>
        <sz val="10"/>
        <rFont val="Arial"/>
        <family val="2"/>
        <charset val="162"/>
      </rPr>
      <t>3500x10 Pişirme Tavası</t>
    </r>
  </si>
  <si>
    <t>NYT35-10 Pişirme Tava Kaldırma Aparatı</t>
  </si>
  <si>
    <t>NYT3500</t>
  </si>
  <si>
    <t>OR 009-2015
Oliva</t>
  </si>
  <si>
    <t>OR013-2015
SIRIUS</t>
  </si>
  <si>
    <t>Desolventizer-Isıtıcı-Kurutucu-Soğutucu DTDC 4000x9
(3 Adet Semer, Kanatlar, Miller, Yataklama Dahil)</t>
  </si>
  <si>
    <t>H300x4000 Kanat (1 Takım =2 Adet) 7 Takım Kullanıldı</t>
  </si>
  <si>
    <t>H500x4000 Kanat (1 Takım =2 Adet) 2 Takım Kullanıldı</t>
  </si>
  <si>
    <t>Tek Kollu Kanat</t>
  </si>
  <si>
    <t>Desolventizer-Isıtıcı-Kurutucu-Soğutucu DTDC 4000x9
3 Adet Semer için Adet Ağırlığı</t>
  </si>
  <si>
    <t xml:space="preserve">Elastik Kaplin RBS1250 (Toaster Mil Tarafı) 1 adet /                                              Kaldırma Kulakları 2 adet /                                                                            Kaplin Elastik kısım aparatları 60 adet / </t>
  </si>
  <si>
    <t>Elastik Kaplin RBS1250 (Redüktör Tarafı)</t>
  </si>
  <si>
    <t>OR 011-2015
Anar</t>
  </si>
  <si>
    <t>Vals Hidrolik Ünitesi 1 Adet
SPC-6000 V Kayışı (Yedek) 8 Adet
SPC-5000 V Kayışı (Yedek) 8 Adet
Plastik titreşim takozları 12 Adet
Hidrolik yağ hortumları 2 Adet
Vals anahtarı 3 adet
Şim sacları 8 adet
Elektrik Kontrol Panosu 1 Adet
Seviye Şalteri PFG05-ATFV-1122-220V AC 50Hz 1 Adet</t>
  </si>
  <si>
    <t>OR 003-2016
Anar</t>
  </si>
  <si>
    <t>T&amp;M TARTISI</t>
  </si>
  <si>
    <t>NYP30-04-04 Kafes Sonu Hilali NYP30-16 (boğaz koniği hilali)
(1 Takım= 2 Parça)</t>
  </si>
  <si>
    <t>NYP30-16 Boğaz Koniği Hilali (1 Takım= 2 Parça)</t>
  </si>
  <si>
    <t>1 D 701
1 F 722</t>
  </si>
  <si>
    <t>Kayan Hücreli Ekstraktör (Elekler ve Ray Sistemi Dahil)</t>
  </si>
  <si>
    <t>Kayan Hücreli Ekstraktör (Ray Sistemi Dahil) (Elekler ve Polyamid Raylar Hariç)</t>
  </si>
  <si>
    <t>Ekstraktör Elekleri (2 palet olarak hesaplandı)</t>
  </si>
  <si>
    <t>Ekstraktör Besleme Cihazı (Redüktörleri Hariç)</t>
  </si>
  <si>
    <t>Ekstraktör (Kova) Hücre (1 Set) 1 Adet= 80 Kg) AISI304</t>
  </si>
  <si>
    <t>Ekstraktör (Kova) Hücre (1 Set) st37</t>
  </si>
  <si>
    <t>Ekstraktör (Kova) Hücre (1 Set)</t>
  </si>
  <si>
    <t>Kayan Hücreli Ekstraktör (Taban basar ölçüsü: 18,50 x 2,81 mt  (Elekler ve Ray Sistemi Dahil)</t>
  </si>
  <si>
    <t>Ekstraktör (Kova) Hücre (1 Set) (1 Adet= 220 Kg)
(1 SetToplam:55 Adet)</t>
  </si>
  <si>
    <t>Ekstraktör (Kova) Hücre (1 Set) st37 (5 adet tartıldı)</t>
  </si>
  <si>
    <t>Kayan Hücreli Ekstraktör
(Zincir Dişli, Elekler ve Ray Dahil, Zincir ve Kovalar Hariç)
Komple 1.4301, gövde dış profiller AISI 304, Kovalar 1.4301
Basarı: 21400 x 3210 mm</t>
  </si>
  <si>
    <t>Ekstraktör (Kova) Hücre (1 Set) AISI304 (245 kg/Adet</t>
  </si>
  <si>
    <t>Ekstraktör Besleme Cihazı 
(Karıştırıcı Redüktörleri ve exproof motoru dahil 11 Kw, Helezon Redüktör ve Motorları Hariç) AISI 304</t>
  </si>
  <si>
    <t>Ekstraktör (Kova) Hücre (1 Set) (5 adet tartıldı)</t>
  </si>
  <si>
    <t xml:space="preserve">Ekstraktör 1 Tk Yataklı Mil </t>
  </si>
  <si>
    <t>E-041025</t>
  </si>
  <si>
    <r>
      <t>20 M</t>
    </r>
    <r>
      <rPr>
        <sz val="10"/>
        <rFont val="Arial Tur"/>
        <charset val="162"/>
      </rPr>
      <t>²</t>
    </r>
    <r>
      <rPr>
        <sz val="10"/>
        <rFont val="Arial"/>
        <family val="2"/>
        <charset val="162"/>
      </rPr>
      <t xml:space="preserve"> Heat Exchanger for Oil Heating</t>
    </r>
  </si>
  <si>
    <t>E-091001</t>
  </si>
  <si>
    <r>
      <t>120 M</t>
    </r>
    <r>
      <rPr>
        <sz val="10"/>
        <rFont val="Arial Tur"/>
        <charset val="162"/>
      </rPr>
      <t>²</t>
    </r>
    <r>
      <rPr>
        <sz val="10"/>
        <rFont val="Arial"/>
        <family val="2"/>
        <charset val="162"/>
      </rPr>
      <t xml:space="preserve"> Heat Exchanger for Oil Cooling</t>
    </r>
  </si>
  <si>
    <t>E-041001</t>
  </si>
  <si>
    <t>50 m2 Condenser for Extractor Ventilation</t>
  </si>
  <si>
    <t>E-xxxxxx</t>
  </si>
  <si>
    <t>3 m2 Heat Exchanger for Hexane Heating</t>
  </si>
  <si>
    <t>S-041009
S-041001</t>
  </si>
  <si>
    <t>Hydro-Cyclone for Solvent-Water Separation
Hydro-Cyclone for Miscella-Impurties Separation</t>
  </si>
  <si>
    <t xml:space="preserve">OR017-2015
Cargill </t>
  </si>
  <si>
    <t>NYP15F Model Yağ Presi 
(Motor, Kasnak Koruma Hariç) (Yedirici Dahil) Komple</t>
  </si>
  <si>
    <t>Palet Koli</t>
  </si>
  <si>
    <t>NYP15F Pres Analog Elektrik Kontrol Paneli 1 Adet
NYP15F Pres Soğutma Ünitesi 2 Adet
NYP15F Pres Soğutma Ünitesi Hortumu 6 Adet
NYP15F Pres Şaryo Aparatı 1 Adet</t>
  </si>
  <si>
    <t>NYP15F Pres Analog Elektrik Kontrol Paneli 2 Adet
NYP15F SPC3900 V kayış 18 Adet
NYP15F SPC3900 V kayış (Yedek) 6 Adet</t>
  </si>
  <si>
    <t>NYP15F Pres Soğutma ünitesi 1 Adet
NYP15F Pres kafes hidrolik açma ünitesi(arabasıyla) 2 Parça
NYP15F Pres Kafes açma pistonu 1 Adet
NYP15F Pres Kafes açma piston aparatı 1 Adet
NYP15F Pres anahtarı 1 Adet
NYP15F Pres askı apatı 1 Adet
NYP15F Mil sıkma hidrolik somunu 1 Adet
NYP15F Mil sıkma hidrolik pompası 1 Adet
NYP15F Mil sıkma hidrolik pompa aparatı ve kolu 2 Parça</t>
  </si>
  <si>
    <t>NYP15F Pres Motoru 110 KW 1500 d/d 380 Volt GM315 S4 B3 (Kasnak Dahil) (Şasesi ile beraber)</t>
  </si>
  <si>
    <t>NYP15F Pres Kasnak Koruması 3 adet</t>
  </si>
  <si>
    <t>T&amp;M TARTIM</t>
  </si>
  <si>
    <t xml:space="preserve">OR001-2016
Tiryaki </t>
  </si>
  <si>
    <t>Evaporator – 506 m2 Part1</t>
  </si>
  <si>
    <t>Pc</t>
  </si>
  <si>
    <t>Evaporator – 506 m2 Part2</t>
  </si>
  <si>
    <t>Evaporator – 506 m2 Part3</t>
  </si>
  <si>
    <t>Evaporator support leg st37</t>
  </si>
  <si>
    <t>Case</t>
  </si>
  <si>
    <t>Ø202x15 mm Sight Glass 1 pc
2xØ202xØ183 mm Sight Glass Gasket 2 pcs
14x5mm Teflon seal gasket (25 Meters) 1 Set
M20x130 Bolt 120 pcs
M20 Nut 120 pcs
M20 Washer 120 pcs</t>
  </si>
  <si>
    <t>Pcs</t>
  </si>
  <si>
    <t>OR008-2016
Carthage Grains</t>
  </si>
  <si>
    <t>NYT35-9 Gözetleme Camı 9 Adet
NYT35-9 Gözetleme Cam Contası 18 Adet
NYT35-9 20x8 Grafit Amyantlı Salmatra (25 Mt) 1 Adet
Seviye Şalteri PFG05-ATFV-1122-220V AC 50Hz 1 Adet</t>
  </si>
  <si>
    <t>ALTINYAĞDAN</t>
  </si>
  <si>
    <t>OR004-2016
Garant Kurban</t>
  </si>
  <si>
    <t>SPC L=5100 mm Kayış (Yedek) 10 adet
SPC L=6100 mm Kayış (Yedek) 10 adet
Plastik titreşim takozları 22 adet
Vals anahtarı 1 adet
Vals Hidrolik Ünite 1 Adet
Hidrolik Ünite Hortumları 6 Adet
Vals Topu Kaldırma Aparatı 1 Adet
Vals Topu Ayar Mili 2 Adet</t>
  </si>
  <si>
    <t>VALS
FS821</t>
  </si>
  <si>
    <t>VALS
FS816</t>
  </si>
  <si>
    <t>VALS
FS613</t>
  </si>
  <si>
    <t>NYT35-10 Tava redüktör Şasesi 1 Adet
Redüktör 1 adet,
Motor 90 KW 1 adet,
Hidrolik Kaplin 1 adet,
Elastik Kaplin RBS 800 (NYT35-10) 1/2</t>
  </si>
  <si>
    <t>Hidrolik Kaplin KRG17 Tranfluid</t>
  </si>
  <si>
    <t>Cooker 3500x9 Tava redüktör platformu 
Redüktör 1 adet, 
Motor 90 KW 1 adet, 
Hidrolik kaplin KRG19 - 1 adet</t>
  </si>
  <si>
    <r>
      <t xml:space="preserve">Cooker 3500x9 Tava redüktör platformu 
Redüktör 1 adet, 
Motor 90 KW 1 adet, 
Hidrolik kaplin KRG19 - 1 adet  </t>
    </r>
    <r>
      <rPr>
        <b/>
        <sz val="10"/>
        <color indexed="10"/>
        <rFont val="Arial"/>
        <family val="2"/>
        <charset val="162"/>
      </rPr>
      <t>(Koruma Sacı Dahil, Yağsız)</t>
    </r>
  </si>
  <si>
    <t>3500x9 Tava redüktör Şasesi 1 Adet
Redüktör 1 adet,
Motor 75 KW 1 adet,
Hidrolik Kapklin KRG17 - 1 adet,
Elastik Kaplin RBS 800 (NYT 3500) 1/2</t>
  </si>
  <si>
    <t>NYT35-9 Pişirme Tava redüktör Şasesi 1 Adet
NYT35-9 Pişirme Tava Redüktörü 1 adet
NYT35-9 Pişirme Tava Motoru 75 KW 1 adet
NYT35-9 Pişirme Tava Hidrolik Kaplini KRG17 - 1 adet
NYT35-9 Pişirme Tava Elastik Kaplini RBS800 1/2</t>
  </si>
  <si>
    <t>OR 007-2016
Beta Ziraat</t>
  </si>
  <si>
    <r>
      <t>Alçalan Film Evaporatörü 89,6 m</t>
    </r>
    <r>
      <rPr>
        <sz val="10"/>
        <rFont val="Arial Tur"/>
        <charset val="162"/>
      </rPr>
      <t>²</t>
    </r>
  </si>
  <si>
    <r>
      <t>Toster Buhar Kondenseri 93,6 m</t>
    </r>
    <r>
      <rPr>
        <sz val="10"/>
        <rFont val="Arial Tur"/>
        <charset val="162"/>
      </rPr>
      <t>²</t>
    </r>
  </si>
  <si>
    <t>40 E 456.1</t>
  </si>
  <si>
    <t>Toster Buhar Kondenseri Destek Ayağı</t>
  </si>
  <si>
    <t>Hava Kanalı (Desolventizer Toster Ø3000-Ø3500)</t>
  </si>
  <si>
    <t>1 G 664
1 G 673</t>
  </si>
  <si>
    <t>40 D 201.1</t>
  </si>
  <si>
    <t>40 D 201.2</t>
  </si>
  <si>
    <t>40 D 201.3</t>
  </si>
  <si>
    <t>Ekstraktör (Kova) Hücre (1 Set) ( 1 Adet=150 Kg)</t>
  </si>
  <si>
    <t>40 D 201.4</t>
  </si>
  <si>
    <t>Ekstraktör Besleme Cihazı
(Karıştırıcı ve Helezon Motorlu Redüktör Hariç)</t>
  </si>
  <si>
    <t>40 D 201.10</t>
  </si>
  <si>
    <t>Ekstraktör Ana Tahrik Redüktörü ve 2,2 kw Motoru 1 adet
(Motorlar Exproof sınıfıdır)</t>
  </si>
  <si>
    <t>40 D 201
40 D 652</t>
  </si>
  <si>
    <t>Muhtelif Montaj Malzemeleri
(Ekli Listes, Packing Contents 2009 Adet)
Exttraktör Besleme Cihazı Karıştırıcı Tahrik 7,5 kw Motor 1 Ad
(Motorlar Exproof sınıfıdır)</t>
  </si>
  <si>
    <t>40 D 652
40 D 201.6</t>
  </si>
  <si>
    <t>Redüktörlü Varyatörlü 1,5 kw Motor 3 Adet (Toaster Rotary)
Helezon Redüktörleri+1.1 kw Motorlar 4 Adet (Extraktör Besleme Cihazı)
(Motorlar Exproof sınıfıdır)
Ekstraktör Besleme Cihazı Tork Kolu 4 Adet
Ekstraktör Besleme Cihazı Tork Kolu Bağlantı Sacı 4 Adet
Ekstraktör Besleme Cihazı Tork Kolu Mil Koruması 8 Adet
Ekstraktör Besleme Cihazı Tork Kolu Mil Bileziği 4 Adet
Ekstraktör Besleme Cihazı Tork Kolu Bağlantı Civata 40 Adet</t>
  </si>
  <si>
    <t xml:space="preserve">40 D 201.9
40 D 201.2
</t>
  </si>
  <si>
    <t>Ekstraktör Bunker Montaj Sacları 20 Adet
Ekstraktör Tork Kolu 1 adet
Ekstraktör Tork Kolu Aparatı 1 Adet</t>
  </si>
  <si>
    <t xml:space="preserve">40 D 652.4-5-6-7 </t>
  </si>
  <si>
    <r>
      <rPr>
        <b/>
        <sz val="10"/>
        <rFont val="Arial"/>
        <family val="2"/>
        <charset val="162"/>
      </rPr>
      <t>DTDC Ø3500 Toaster Ana Dişli Kutusu</t>
    </r>
    <r>
      <rPr>
        <sz val="10"/>
        <rFont val="Arial"/>
        <family val="2"/>
        <charset val="162"/>
      </rPr>
      <t xml:space="preserve">
Redüktör Şasesi 1 Adet 
Redüktörü 1 adet
Motoru 75 kw 1 adet
Hidrolik Kaplini KRG 17 CC 75 45 OR- 1 adet
Toaster Redüktör Elastik Kaplin RBS630 - 1/2</t>
    </r>
  </si>
  <si>
    <t xml:space="preserve">40 D 652.6 </t>
  </si>
  <si>
    <t>RBS630 Elastik Kaplin 1/2
RBS630 Elastik Kaplin Yedek Lastiği 14 Adet
RBS630 Elastik Kaplin Kapağı 1 Adet</t>
  </si>
  <si>
    <t>DTDC Ø3500 Toaster Elastik Kaplin Koruması</t>
  </si>
  <si>
    <t>DTDC Ø3500 Dönel Vana 2 Adet
40D652 20x8 Salmastra (12 meters) 1 Adet
40D652 Ø202x15 mm Gözetleme camı 8 Adet
40D652 2xØ202xØ183 mm BA 203 Conta 16 Adet
40D652 Zincir Dişlisi 3 Adet
40D652 Zincir (3 Metre) 1 Adet
40D652 Zincir Kilid 3 Adet
40D652 Zincir Dişli Birleşim Sacı 6 Adet
40D652 Zincir Dişli Birleşim Civatası 3 Adet</t>
  </si>
  <si>
    <t>Desolventizer - Toaster - Kurutucu - Soğutucu (DTDC) 
Ø3500 mm, 5 Kat (1 Adet Rotary dahil)</t>
  </si>
  <si>
    <t>DTDC Ø3500 Toaster Kaldırma Aparatı</t>
  </si>
  <si>
    <t>OR 013-2016
Klas Olio</t>
  </si>
  <si>
    <t>OR 004-2016
Garant-Kurban</t>
  </si>
  <si>
    <t>30 G 05</t>
  </si>
  <si>
    <t>T&amp;M KANTAR FİŞİ</t>
  </si>
  <si>
    <r>
      <t>NYP60 SPC4500 V kayış 16 adet
NYP60 SPC4500 V kayış (Yedek) 16 adet
NYP60 Kafes Pnömatik Somun sıkma makinası 1 adet
NYP60 Kafes Pnömatik Somun AA70 lokması 1 adet
NYP60 Mil sıkma hidrolik somunu 1 adet
NYP60 Mil sıkma hidrolik pompa aparatı ve kolu 3 parça
NYP60 Pres 500 kw Motor bağlantı klemensi 1 Adet
Elektrik Kumanda Panosu 2 Adet (Pres+Vals)
NYP60 Pres Soğutma ünitesi 1 Adet
NYP60 Pres kafes hidrolik açma ünitesi 1 Adet
NYP60 Pres Hidrolik Ünite Bağlantı Hortumu 2 Adet
NYP60Pres Kafes açma pistonu 1 adet
NYP60 Pres Kafes açma piston aparatı 1 adet</t>
    </r>
    <r>
      <rPr>
        <sz val="9"/>
        <color indexed="30"/>
        <rFont val="Arial"/>
        <family val="2"/>
        <charset val="162"/>
      </rPr>
      <t/>
    </r>
  </si>
  <si>
    <t>NYP60 Pres Soğutma ünitesi Hortumları 2 adet
NYP60 Pres kafes hidrolik açma ünitesi arabası 1 Adet
NYP60 Pres Kasnak Koruma ayağı 2 Adet
NYP60 Şaryo 3 adet
NYP60 Pres anahtarı 2 adet
NYP60 Pres askı aparatı 1 adet
NYP60 Mil sıkma hidrolik pompası 1 adet
NYP60 Hidrolik mil sıkma pompa hortumları 2 Adet
Elastik Kaplin RBS800 (NYT3500) 1/2
RBS800 Elastik Kaplin Perno Poiüretan Yedek Lastik 16 Adet</t>
  </si>
  <si>
    <t>30 E 04</t>
  </si>
  <si>
    <r>
      <rPr>
        <b/>
        <sz val="10"/>
        <rFont val="Arial"/>
        <family val="2"/>
        <charset val="162"/>
      </rPr>
      <t>NYT35-9 Tava Ana Dişli Kutusu</t>
    </r>
    <r>
      <rPr>
        <sz val="10"/>
        <rFont val="Arial"/>
        <family val="2"/>
        <charset val="162"/>
      </rPr>
      <t xml:space="preserve"> 
Tava redüktör Şasesi 1 Adet
Redüktör 1 adet,
Motor 75 Kw 1 adet,
Hidrolik Kaplin KRG17- 1 adet,
Elastik Kaplin RBS800 (NYT3500) 1/2</t>
    </r>
  </si>
  <si>
    <t>OR 025-2016
OR 027-2016</t>
  </si>
  <si>
    <t>ROSSI R 2EL 180A 17,1Y Z200M1 F05j C100x165 B5
Independent oil-air cooling unit UR O/A 13 Ps 13 Kw</t>
  </si>
  <si>
    <t>ROSSİ GÜMRÜK EVRAĞI</t>
  </si>
  <si>
    <t>OR 027-2016
KIMIA DANE</t>
  </si>
  <si>
    <t>NYP30-02-01 (redüktör adaptörü)</t>
  </si>
  <si>
    <t>NYP30-02-02 (adaptör kapağı)</t>
  </si>
  <si>
    <t>NYP30-02-06 (mil adaptörü)</t>
  </si>
  <si>
    <t>NYP30-01(ti) Gövde talaşlı imalat sonrası</t>
  </si>
  <si>
    <t>NYP30 Pres Kafesi (malzeme GS 52) (1 Takım=2 Parça)</t>
  </si>
  <si>
    <t>OR 025-2016
Bonoil</t>
  </si>
  <si>
    <t>NYP 30 Pres Kasnak Koruması (2 Adet Pres için)</t>
  </si>
  <si>
    <t>FS816-800x1600 Pullama Valsi Gövde (İŞLENMEMİŞ) 
st37/Karbon Çeliği (2 Adet stoktan yapılanın her biri)</t>
  </si>
  <si>
    <t>1 E 220    
1 E 407</t>
  </si>
  <si>
    <t>OR 012-2017  TİRYAKİ</t>
  </si>
  <si>
    <t>ADANA DÖKÜM</t>
  </si>
  <si>
    <t>OR 028-2016
SUMY</t>
  </si>
  <si>
    <t>OR 028-2016 Sumy</t>
  </si>
  <si>
    <t>OR 016-2017 Mitterer</t>
  </si>
  <si>
    <t>NYP15-04-01 Kafes işlenmemiş (1 Adet Sağ veya Sol) GS52</t>
  </si>
  <si>
    <t>Toaster Buhar Kondenseri
(gövde, borular ve boru plakaları; paslanmaz 1.4301)</t>
  </si>
  <si>
    <t>Toaster Giriş Rotary Valfi (Exproof Motor-Redüktör ile birlikte)
(Gövde ; karbon çeliği , rotor; paslanmaz 1.4301)</t>
  </si>
  <si>
    <t>Toaster Redüktör RBS1120 Elastik Kaplin 1/2 - 1 Adet</t>
  </si>
  <si>
    <t>Toaster Ana Dişli Kutusu Redüktör, Exproof Motor 200 kw, KRG21 Hidrolik Kaplin ve Muhafaza, Şase</t>
  </si>
  <si>
    <t>OR 035-2017
Green Food</t>
  </si>
  <si>
    <t>Cimak Tartım</t>
  </si>
  <si>
    <t>NYP30-05-01 Ön Yatak</t>
  </si>
  <si>
    <t>NYP30-05-02 Yatak Kapağı</t>
  </si>
  <si>
    <t>NYP30-05-03 Ön Yatak Burcu</t>
  </si>
  <si>
    <t>NYP30-13-05~06 Aparat Bağlantı Parçası Sağ veya Sol</t>
  </si>
  <si>
    <t>(LAG-E00032W105) Sabit yatak</t>
  </si>
  <si>
    <t>(LAG-E00032W105) Hareketli yatak</t>
  </si>
  <si>
    <t>KIRMA
KS313</t>
  </si>
  <si>
    <t>(LAG-E00032W107) Boşluksuz kapak</t>
  </si>
  <si>
    <t>(LAG-E00032W107) Boşluklu kapak</t>
  </si>
  <si>
    <t>NYP15 Model Vidalı Pres
(Motor-Fan-Şase hariç)</t>
  </si>
  <si>
    <t>NYP15 Model Vidalı Pres  Motor 110 kW
(Şase Dahil)</t>
  </si>
  <si>
    <t xml:space="preserve">NYP15 Vidalı Pres  Kasnak Koruma </t>
  </si>
  <si>
    <t>OR 034-2017
Pet Agro Oil</t>
  </si>
  <si>
    <t>30E 04</t>
  </si>
  <si>
    <t>NYT24-7 Kaldırma Aparatı</t>
  </si>
  <si>
    <t>NYT2400</t>
  </si>
  <si>
    <t>NYT24-7 Rutubet Bacası</t>
  </si>
  <si>
    <t xml:space="preserve">NYP30 Model Yağ Pres Yediricisi 
(1 Adet 5,5 kw 1 Adet 4 Kw Redüktör Akuple) </t>
  </si>
  <si>
    <t>NYT2400x9 Tava Kaldırma Aparatı</t>
  </si>
  <si>
    <t>NYT2400x9 Nem Alma Bacası</t>
  </si>
  <si>
    <t>NYT24-7  Tava
Motor, Redüktör ve Tip : BYK / RU 20 M Fan Dahil) Fan:40 Kg</t>
  </si>
  <si>
    <t>NYT2400x9 Tava (Fan:90 Kg)
(Motor, Redüktör ve Tip : VE1 a RU 140 M) GL90 Fan Dahil)</t>
  </si>
  <si>
    <t>OR 006-2016
Elin Romny</t>
  </si>
  <si>
    <t>NYT3000x7 Tava redüktör Şasesi 1 Adet
Redüktör 1 adet,
Motor 45 KW 1 adet,
Hidrolik Kaplin KRG15 - 1 adet,
Elastik Kaplin RBS 500 (NYT3000x7) 1/2</t>
  </si>
  <si>
    <t>NYT 50-12</t>
  </si>
  <si>
    <t>NYT 50-12, Ø5000x12  Cooker, Part1</t>
  </si>
  <si>
    <t>NYT 50-12, Ø5000x12  Cooker, Part2</t>
  </si>
  <si>
    <t>NYT 50-12, Ø5000x12  Cooker, Part3</t>
  </si>
  <si>
    <t>NYT 50-12, Cooker Section lifting apparatus</t>
  </si>
  <si>
    <r>
      <rPr>
        <b/>
        <sz val="10"/>
        <rFont val="Arial"/>
        <family val="2"/>
        <charset val="162"/>
      </rPr>
      <t>Main Gear Box</t>
    </r>
    <r>
      <rPr>
        <sz val="10"/>
        <rFont val="Arial"/>
        <family val="2"/>
        <charset val="162"/>
      </rPr>
      <t xml:space="preserve">
Reducer Chassis  1 pc. 
Gear box 1 pc.
Main drive motor 200 kw  1 pc.
Hydraulic coupling KRG21- 1 pc.
RBS1120 Elastic coupling Part 1/2 - 1 pc</t>
    </r>
  </si>
  <si>
    <t>RBS1120 Elastic coupling Part 2/2 -1 pc
RBS1120 elastic coupling Perno Poluretan spare rubber 22 pcs</t>
  </si>
  <si>
    <t>NYT 50-12 Cooker Gearbox Elastic Coupling Cover</t>
  </si>
  <si>
    <t>NYT 50-12 Cooker Chimney</t>
  </si>
  <si>
    <t>Shaft Part (Top)</t>
  </si>
  <si>
    <t>Shaft Part (Middle)</t>
  </si>
  <si>
    <t>Shaft Part (Bottom)</t>
  </si>
  <si>
    <t>NYT 50-12 Cooker Arms H500 Part1</t>
  </si>
  <si>
    <t>NYT 50-12 Cooker Arms H300 Part1</t>
  </si>
  <si>
    <t>NYT 50-12 Section Top Bearing 1 Set</t>
  </si>
  <si>
    <t>Pallet</t>
  </si>
  <si>
    <t>NYT 50-12  Section Bottom Bearing 1 Set</t>
  </si>
  <si>
    <t>Menhol</t>
  </si>
  <si>
    <t>30 G 03</t>
  </si>
  <si>
    <t>OR 007-2018
Elin Romny</t>
  </si>
  <si>
    <t>OR 004-2017
Carthage</t>
  </si>
  <si>
    <t>20 G 02</t>
  </si>
  <si>
    <t>KD313 300x1300 Kırma Kaldırma Aparatı</t>
  </si>
  <si>
    <t>30 G 03
10-20-30
LI-EI-CV</t>
  </si>
  <si>
    <t>Ekstraktör (Kova) Hücre AISI304 (1 Set) (1 Adet= 232 Kg)
(1 SetToplam:55 Adet)</t>
  </si>
  <si>
    <t>40 D 201.9/11</t>
  </si>
  <si>
    <t>Ekstraktör Ana Tahrik Redüktörü ve Exproof Motoru 5,5 Kw
Mil Sıkma Kaplini 1 Adet</t>
  </si>
  <si>
    <t>40 D 201.10-11-13</t>
  </si>
  <si>
    <t>Ekstraktör Yedirici Karşıştırıcı Exproof Motoru 11 Kw, 1 Adet
Ekstraktör Yedirici Karşıştırıcı Redüktörü, 1 Adet
Ekstraktör Yedirici Helezon Exproof Motoru 1.1 Kw, 4 Adet
Ekstraktör Yedirici Helezon Redüktörü, 4 Adet
Ekstraktör Yedirici Helezon Tork Kolu 4 Adet
Ekstraktör Yedirici Helezon Mil Koruma 8 Adet</t>
  </si>
  <si>
    <t>40 D 201.5</t>
  </si>
  <si>
    <t>Ekstraktör Bunker Montaj Sacları 29 Adet
Ekstraktör Tork Kolu 1 Adet
Ekstraktör Tork Kolu Aparatı 1 Adet</t>
  </si>
  <si>
    <t>40 G 292</t>
  </si>
  <si>
    <t>Yatık Helezon
7,5 kW 41 d/d MV573-132M/4 Exproof Motorcu Redüktör ile)</t>
  </si>
  <si>
    <t>40 G 651</t>
  </si>
  <si>
    <t>Toster Giriş Rotary Valfi
(2,2 kW, 30 D/D MV373-100L/4A Exproof Motorlu Redüktör)</t>
  </si>
  <si>
    <t>40 G 664.1
40 G 664.2</t>
  </si>
  <si>
    <t>G 664.1 Dönel Vana
G 664.2 Dönel Vana
(1,5 kW, 36 D/D EV100-2E90L/4c Exproof Motorlu Redüktör)</t>
  </si>
  <si>
    <t>G 673 Dönel Vana
(1,5 kW, 36 D/D EV100-2E90L/4c Exproof Motorlu Redüktör)</t>
  </si>
  <si>
    <t>Solvent İş Tankı</t>
  </si>
  <si>
    <t>Atık Su Desolventizeri</t>
  </si>
  <si>
    <t>Atık Su Ön Isıtıcısı</t>
  </si>
  <si>
    <t xml:space="preserve">40 F 321
40 D 410 </t>
  </si>
  <si>
    <t>Kondens Buhar Tankı
Yüksek Vakum Kolonu</t>
  </si>
  <si>
    <t>Misella Ön-Isıtıcı</t>
  </si>
  <si>
    <t>40 E 403
Part2</t>
  </si>
  <si>
    <t>Alçalan Film Evaporatör Ekonomizeri part2</t>
  </si>
  <si>
    <t>Flaş Deposu
Destilasyon Kolonu</t>
  </si>
  <si>
    <t>Yağ Ön Isıtıcısı</t>
  </si>
  <si>
    <t>Vakum Ana Kondenseri</t>
  </si>
  <si>
    <t>Kolon Kondenseri</t>
  </si>
  <si>
    <t>Toster Buhar Kondenseri</t>
  </si>
  <si>
    <t>Karıştırma Kondenseri</t>
  </si>
  <si>
    <t>Ekstraksiyon İçin Atık Hava Soğutucusu</t>
  </si>
  <si>
    <t>Atık Hava Soğutucusu</t>
  </si>
  <si>
    <t>Absorpsiyon Kolonu
Mineral Yağ Tankı</t>
  </si>
  <si>
    <t xml:space="preserve">Yükselen Film Evaporatörü </t>
  </si>
  <si>
    <t>40 SP 11</t>
  </si>
  <si>
    <t>Steam condensate separator 1 Adet</t>
  </si>
  <si>
    <t>40 D 312</t>
  </si>
  <si>
    <t>40 D 312 Hidro Siklon 2 Adet
DN150 Gözetleme Camı+Contalar+civatalar 8 Takım
DN200 Gözetleme Camı+Contalar+civatalar 2 Takım
40D654 için D5 Nozülü 1 Adet
40E403 Civata+Somun+Rondela M20x120 - 88 adet
40D302 a Nozülü - 1 Adet
Teflon Contalon (40E403) 1 Set</t>
  </si>
  <si>
    <t>40 G 652</t>
  </si>
  <si>
    <t>Desolventizer-Isıtıcı-Kurutucu-Soğutucu DTDC 3500x7</t>
  </si>
  <si>
    <t>Toster Kaldırma Aparatı</t>
  </si>
  <si>
    <t>40 E 403-1</t>
  </si>
  <si>
    <t>Alçalan Film Evaporatör Ekonomizeri part1</t>
  </si>
  <si>
    <t>Solvent Su Separatörü</t>
  </si>
  <si>
    <t>40 D 672</t>
  </si>
  <si>
    <r>
      <rPr>
        <b/>
        <sz val="10"/>
        <rFont val="Arial"/>
        <family val="2"/>
        <charset val="162"/>
      </rPr>
      <t>Toaster Ana Dişli Kutusu</t>
    </r>
    <r>
      <rPr>
        <sz val="10"/>
        <rFont val="Arial"/>
        <family val="2"/>
        <charset val="162"/>
      </rPr>
      <t xml:space="preserve">
Toaster Redüktör Şasesi 1 Adet
Toaster Redüktörü 1 adet
Toaster Ana Tahrik Motoru Motoru 90 Kw 1 adet
Toaster Hidrolik Kaplini KGR17- 1 adet
Toaster Redüktör Elastik Kaplin RBS710 - 1/2</t>
    </r>
  </si>
  <si>
    <t>Toaster Redüktör Elastik Kaplin RBS710 - 1/2</t>
  </si>
  <si>
    <t>Toaster Elastik Kaplin Koruması</t>
  </si>
  <si>
    <t>Toaster P1 Nozülü</t>
  </si>
  <si>
    <t>Toaster P2 Nozülü</t>
  </si>
  <si>
    <t>Toaster Q Nozülü</t>
  </si>
  <si>
    <t>TDE 801-2-3-4-5-6-7 ve 646  Blind Plates (Hat Körleme) 8 Adet
TDE 563-5691-5692-5240-5832-544-529-535-507 Orifice Plate 9 Adet.
Thermometer Nozzles st37 - 52 Adet
Thermometer Nozzles AISI304 - 14 Adet
Ø202x15 mm Gözetleme Camı Toaster 22 Adet
2xØ202xØ183 mm Conta Toaster 44 Adet
M42x250 Gijon GalvSt8.8 DIN 975 (Toaster Ana Redüktör) 6 Adet
M42 Somun St8 DIN 934 (Toaster Ana Redüktör) 6 Adet
M42 Düz Ronleda St DIN 125 (Toaster Ana Redüktör) 6 Adet
20x8 Grafit Amyantlı Salmastra (Toaster Menhol) (20 Meters) 1 Adet
Transmiter Dişli seti 4 Set
Toaster isim Plaka Sacı 1 Adet
Toaster Seviye Ayar Sacları 4 Adet
Toaster Seviye Gösterge Sacları 5 Adet
Toaster Kanat için Setuskur Civatası 1 Adet</t>
  </si>
  <si>
    <t>40E408 Steam Dryer</t>
  </si>
  <si>
    <t>TDE 717 Huni 1 Adet
TDE 718 Huni 3 Adet
TDE 722 Kondensat-Siphon 1 Adet
TDE 723 Kondensat-Siphon 1 Adet
TDE 724 Kondensat-Siphon 1 Adet
TDE 726 Kondensat-Siphon 2 Adet
TDE 727 Kondensat-Siphon 1 Adet
TDE 768 Kondensat-Siphon 1 Adet
TDE 736 Separator (DN250) (40D408 için) 1 Adet
TDE 736 Separator (DN200) (40D406 için) 1 Adet</t>
  </si>
  <si>
    <t>Vals Topu Boy Taşalama Makinası 1 Adet
Vals Topu Boy Taşlama Yedek Taş 1 Adet
Vals Topu Sıyırıcı Sacı 2 Adet</t>
  </si>
  <si>
    <t>Zincirli Konveyör Zincir</t>
  </si>
  <si>
    <t>Set</t>
  </si>
  <si>
    <t>Zincirli Konveyör Palet (st37)</t>
  </si>
  <si>
    <t>Zincir Konveyör Ø202 mm Gözetleme Camı 3 Adet
Zincir Konveyör Ø202 mm Gözetleme Cam Contası 6 Adet
14x5mm Teflon Makara Conta (50 Metre) 1 Adet
Zincir Konveyör M12x50mm Cıvata (Gövde Bağlantı) 400 Adet
Zincir Konveyör M12 Somun (Gövde Bağlantı) 400 Adet
Zincir Konveyör M12 Düz Rondela (Gövde Bağlantı) 400 Adet
Zincir Konveyör M12x50mm Cıvata (AISI304) Palet 355 Adet
Zincir Konveyör M12 Fiberli Somun (AISI304) Palet 355 Adet
Zincir Konveyör M12 Yaylı Rondela (AISI304) Palet 355 Adet
Zincirli Konveyör Taşıma Ayakları 6 Set
Teknik Döküman 4 Adet</t>
  </si>
  <si>
    <t>Zincirli Konveyör Tahrik Kısmı
11 KW, 36 d/d   MV603-160M Exproof</t>
  </si>
  <si>
    <t>Zincir Konveyör Ara Gövde</t>
  </si>
  <si>
    <t>Zincir Konveyör Ara Gövde (Modül-1)</t>
  </si>
  <si>
    <t>Zincir Konveyör Ara Gövde (Modül-2)</t>
  </si>
  <si>
    <t>Zincir Konveyör Ara Gövde (Modül-3)</t>
  </si>
  <si>
    <t>Zincir Konveyör Ara Gövde (Modül-4)</t>
  </si>
  <si>
    <r>
      <t>Zincir Konveyör Dirsek 76</t>
    </r>
    <r>
      <rPr>
        <sz val="10"/>
        <rFont val="Arial Tur"/>
        <charset val="162"/>
      </rPr>
      <t>º</t>
    </r>
  </si>
  <si>
    <t>Zincir Konveyör Küspe Giriş Bölmesi</t>
  </si>
  <si>
    <t>Misealla Ön Isıtıcı</t>
  </si>
  <si>
    <t>SPC L=5200 mm Kayış 10 adet
SPC L=6000 mm Kayış 10 adet
Seviye Şaşteri PFG 05 ATFV 24CC 24 V.DC. 1 Adet
Vals anahtarı 4 adet
Vals Hidrolik Ünite 1 Adet
Hidrolik Ünite Hortumları 4 Adet
Vals Topu Kaldırma Aparatı 1 Adet
Elektrik Kontrol Panosu 1 Adet</t>
  </si>
  <si>
    <t>Toaster Rotary Valf (3 kw motor ve redüktör dahil) Toplam 4 adet olup 1 adet ölçüsüdür.</t>
  </si>
  <si>
    <t>30 F 11</t>
  </si>
  <si>
    <t>Filitrelenmiş Yağ Tankı</t>
  </si>
  <si>
    <t>51 F 00</t>
  </si>
  <si>
    <t>Ham Yağ Stok Tankı</t>
  </si>
  <si>
    <t>51 F 02</t>
  </si>
  <si>
    <t>Kostik Soda Depolama Tankı</t>
  </si>
  <si>
    <t>52 E 01</t>
  </si>
  <si>
    <t>Separatör</t>
  </si>
  <si>
    <t>52 F 02</t>
  </si>
  <si>
    <t>Ağartılmış Yağ Stok Tankı</t>
  </si>
  <si>
    <t>54 F 01</t>
  </si>
  <si>
    <t>Deodorize Yağ Tankı</t>
  </si>
  <si>
    <t>30 G 14</t>
  </si>
  <si>
    <t>Küspe Kırıcı</t>
  </si>
  <si>
    <t>30 D 18.1</t>
  </si>
  <si>
    <t>30 G 20.1</t>
  </si>
  <si>
    <t>Hava Kilidi</t>
  </si>
  <si>
    <t>30 D 06</t>
  </si>
  <si>
    <t>Yağ Separatörü</t>
  </si>
  <si>
    <t>30 D 21</t>
  </si>
  <si>
    <t>Kondens Toplama Tankı</t>
  </si>
  <si>
    <t>51 F 01</t>
  </si>
  <si>
    <t>Sabun Stok Tankı</t>
  </si>
  <si>
    <t>51 F 03</t>
  </si>
  <si>
    <t>Kostik Soda Dengesi - Tuzlu Su Tankı</t>
  </si>
  <si>
    <t>51 F 04</t>
  </si>
  <si>
    <t>Atık Su Tankı</t>
  </si>
  <si>
    <t>52 F 01</t>
  </si>
  <si>
    <t>Ağartma Toprak Besleme Tankı</t>
  </si>
  <si>
    <t>52 F 03</t>
  </si>
  <si>
    <t>Kondens Tankı</t>
  </si>
  <si>
    <t>54 D 03</t>
  </si>
  <si>
    <t>Asit Yıkayıcı Tankı</t>
  </si>
  <si>
    <t>54 D 04</t>
  </si>
  <si>
    <t>Yağ Asit Tankı</t>
  </si>
  <si>
    <t>54 F 02</t>
  </si>
  <si>
    <t>Degumming</t>
  </si>
  <si>
    <t>OR010-2018
Samantep</t>
  </si>
  <si>
    <t>OR 010-2018
Samantep</t>
  </si>
  <si>
    <t>Taşıma Semeri</t>
  </si>
  <si>
    <t>NYT20-5 Nebati Yağ Tavası
(Motor, Redüktör Dahil)</t>
  </si>
  <si>
    <t>NYT20-5 Nem Alma Bacası</t>
  </si>
  <si>
    <t>NYT20-5 Tava Kaldırma Aparatı</t>
  </si>
  <si>
    <t>30 F 07</t>
  </si>
  <si>
    <t>Filtre Öncesi Yağ Karıştırma Tankı</t>
  </si>
  <si>
    <t>NYP15F Model Vidalı Pres
(Motor-Fan-Şase hariç)</t>
  </si>
  <si>
    <t>NYP15F Model Vidalı Pres  Motor 110 kW
(Şase Dahil)</t>
  </si>
  <si>
    <t xml:space="preserve">NYP15F Vidalı Pres  Kasnak Koruma </t>
  </si>
  <si>
    <t>NYP15F SPC 3900 V kayış   6 adet
NYP15F SPC 3900 V kayış  (yedek)  6 adet
NYP15F Vidalı Pres  Soğutma Ünitesi  1 adet
NYP15F Vidalı Pres  Soğutma Ünitesi Hortum  2 adet
NYP15F Vidalı Pres  Anahtar  1 adet
NYP15F Vidalı Pres  Şaft Destek Aparatı  1 adet
NYP15F Şaft Sıkma Hidrolik Somun  1 adet
NYP15F Şaft Sıkma Hidrolik Pompa   1 adet
NYP15F Hidrolik Şaft Sıkma Pompa Hortumu  1 adet
NYP15F Şaft Sıkma Hidrolik Pompa Aparatları ve Kolu 2 adet
NYP15F Şaryo 1 adet
NYP15F Çerçeve 1 Adet
NYP15F Teknik Doküman 1 adet</t>
  </si>
  <si>
    <t>NYP15F Vidalı Pres Hidrolik Kafes Açma Unitesi ve El arabası  2 adet
NYP15F Vidalı Pres Hidrolik Ünite Bağlantı Hortumu  2 adet
NYP15F Vidalı Pres Kafes Açma Pistonu 1 adet
NYP15F Vidalı Pres Kafes Açma Piston Aparatı  1 adet</t>
  </si>
  <si>
    <t>NYP-15F</t>
  </si>
  <si>
    <t>51 D 01</t>
  </si>
  <si>
    <t>Nötrleştirici - Yıkayıcı</t>
  </si>
  <si>
    <t>52 D 01</t>
  </si>
  <si>
    <t>Ağartma</t>
  </si>
  <si>
    <t>Ağartma için 4kW 65d/d NV472-2E112M/4C Motorlu Redüktör
(Nakliye için Demonte Eilmiştir.)</t>
  </si>
  <si>
    <t>54 D 01</t>
  </si>
  <si>
    <t>Koku Giderici</t>
  </si>
  <si>
    <t>54 E 01</t>
  </si>
  <si>
    <t>Soğutucu</t>
  </si>
  <si>
    <t>NYP60F Model Yağ Presi</t>
  </si>
  <si>
    <t xml:space="preserve">NYP60F Model Yağ Pres Yediricisi 
(2 Adet 5,5 kw Redüktör Akuple) </t>
  </si>
  <si>
    <t>NYP60F Pres Motoru 355 kw,
(Kasnak ve şasesi ile beraber)</t>
  </si>
  <si>
    <t>NYP60F Pres Kasnak Koruması 1 Adet
NYP60F Pres Kasnak Koruma ayağı 2 Adet</t>
  </si>
  <si>
    <t>NYP60F Pres kafes hidrolik açma ünitesi ve arabası 2 Adet
NYP60F Pres Hidrolik Ünite Bağlantı Hortumu 2 Adet
NYP60F Pres Kafes açma pistonu 1 Adet
NYP60F Pres Kafes açma piston aparatı 1 Adet</t>
  </si>
  <si>
    <t>NYP60F 32x20mm V Kayış 4100mm 9 Adet
NYP60F 32x20mm V Kayış 4100mm (Yedek) 9 Adet
NYP60F Elektrik Kumanda Panosu 1 Adet
NYP60F Pres Soğutma ünitesi 1 Adet
NYP60F Pres Soğutma ünitesi Hortumları 2 Adet
NYP60F Mil sıkma hidrolik somunu 1 Adet
NYP60F Mil sıkma hidrolik pompa aparatı ve kolu 3 parça
NYP60F Mil sıkma hidrolik pompası 1 Adet
NYP60F Hidrolik mil sıkma pompa hortumları 2 Adet
NYP60F Pres anahtarı 2 Adet
NYP60F Pres askı aparatı 1 Adet
NYP60F Şaryo 2 Adet
NYP60F Yedirici montaj elemanları 50 Adet
Teknik Dosya 1 Adet</t>
  </si>
  <si>
    <t>OR012-2017
Tiryaki</t>
  </si>
  <si>
    <t>NYP15F Model Yağ Presi 
(Yedirici Motor, Kasnak Koruma, Hariç) Komple</t>
  </si>
  <si>
    <t xml:space="preserve">NYP15F Model Yağ Pres Yediricisi 
(2 Adet 3 kw IE3 Redüktör Akuple) </t>
  </si>
  <si>
    <t>NYP15F Pres Motoru 90 KW 1500 d/d IE3
(Kasnak Dahil) (Şasesi ile beraber)</t>
  </si>
  <si>
    <t>NYP15F Pres Kasnak Koruması 1 adet</t>
  </si>
  <si>
    <t>NYP15F SPC3900 V kayış 6 Adet
NYP15F SPC3900 V kayış (Yedek) 6 Adet
NYP15F Pres Analog Elektrik Kontrol Paneli 1 Adet
NYP15F Pres Soğutma Ünitesi 1 Adet
NYP15F Pres Soğutma Ünitesi Hortumu 2 Adet
NYP15F Pres Anahtarı 2 Adet
NYP15F Pres Mil Askı Apatı 1 Adet
NYO15F Pres Mil Askı Aparatı Kolu 2 Adet
NYP15F Mil sıkma hidrolik somunu 1 Adet
NYP15F Mil sıkma hidrolik pompası 1 Adet
NYP15F Mil sıkma hidrolik pompası hortumu 1 Adet
NYP15F Mil sıkma hidrolik pompa aparatı ve kolu 3 Parça
NYP15F Şaryo 2 Adet
NYP15F Kafes Pnömatik Somun sıkma makinası 1 adet
NYP15F Kafes Pnömatik Somun AA65 lokması 1 adet
NYP15F Teknik Döküman 1 Adet</t>
  </si>
  <si>
    <t>NYP15F Pres Kafes hidrolik açma ünitesi(arabasıyla) 2 Parça
NYP15F Pres Kafes hidrolik açma ünite hortumu 2 Adet
NYP15F Pres Kafes açma pistonu 1 Adet
NYP15F Pres Kafes açma piston aparatı 1 Adet</t>
  </si>
  <si>
    <t xml:space="preserve">OR016-2017
Mitterer </t>
  </si>
  <si>
    <t>NYK32-6 Ø3200x6 kat Kondisyoner
(2 Adet Rotary Valf, Nem Alma Bacası Dahildir.)</t>
  </si>
  <si>
    <t>NYK32-6 ve NYK24-6 Kondisyoner Kaldırma Aparatı</t>
  </si>
  <si>
    <r>
      <rPr>
        <b/>
        <sz val="10"/>
        <rFont val="Arial"/>
        <family val="2"/>
        <charset val="162"/>
      </rPr>
      <t>NYK32-6 Ana Dişli Kutusu</t>
    </r>
    <r>
      <rPr>
        <sz val="10"/>
        <rFont val="Arial"/>
        <family val="2"/>
        <charset val="162"/>
      </rPr>
      <t xml:space="preserve">
Redüktör Şasesi 1 Adet 
Redüktörü 1 Adet
Motoru 75 kw 1 Adet
Hidrolik Kaplini (KRG 17 C75 45 OR) 1 Adet
NYK32-6 RBS630 Elastik Kaplin Part: 1/2 - 1 Adet</t>
    </r>
  </si>
  <si>
    <t>NYK32-6 RBS630 Elastik Kaplin Part: 2/2 - 1 Adet
Ø630 Perno Poliüretan Lastiği (14 Adet, Yedek)</t>
  </si>
  <si>
    <t>NYK3200 Elastik Kaplin Koruması</t>
  </si>
  <si>
    <t xml:space="preserve">
20 G 019.2</t>
  </si>
  <si>
    <t>NYK32-6 Fan 1-5 Katlar 2,2 Kw (VH1S a RU 200 M) 1 Adet
20 G 019.2 Fan 7,5 Kw (VH1SaRU 250 M) 1 Adet</t>
  </si>
  <si>
    <t>NYK24-6 Ø2400x6 kat Kondisyoner 
(30 Kw Motor ve Redüktörü, 2 Adet Rotary Valf, Nem Alma Bacası Dahildir.)</t>
  </si>
  <si>
    <t>NYK2400 ve 3200 Rotary Valf Motorlu Redüktörleri</t>
  </si>
  <si>
    <t>20 G 20.1
20 G 20.2</t>
  </si>
  <si>
    <t>Rotary Valf (0.75Kw Motorlu Redüktörü ile) 2 Adet</t>
  </si>
  <si>
    <t>20 D 18.1</t>
  </si>
  <si>
    <r>
      <t xml:space="preserve">Havalandırma Siklonu </t>
    </r>
    <r>
      <rPr>
        <sz val="10"/>
        <rFont val="Arial Tur"/>
        <charset val="162"/>
      </rPr>
      <t>Ø1100x3520 mm</t>
    </r>
  </si>
  <si>
    <t>20 D 18.2</t>
  </si>
  <si>
    <r>
      <t xml:space="preserve">Havalandırma Siklonu </t>
    </r>
    <r>
      <rPr>
        <sz val="10"/>
        <rFont val="Arial Tur"/>
        <charset val="162"/>
      </rPr>
      <t>Ø1100x2230 mm</t>
    </r>
  </si>
  <si>
    <t xml:space="preserve">OR19-2017
Altınyağ </t>
  </si>
  <si>
    <t xml:space="preserve">NYP60F Model Yağ Pres Yediricisi 
(2 Adet 5,0 kw Redüktör Akuple) </t>
  </si>
  <si>
    <t>NYP60F Pres Kasnak Koruması 1 Adet
NYP60F Pres Kasnak Koruma ayağı 2 Adet
NYP60F Pres Şaryo Aparatı 1 Adet</t>
  </si>
  <si>
    <t>NYP60F 32x20mm V Kayış 4100mm 9 Adet
NYP60F 32x20mm V Kayış 4100mm (Yedek) 9 Adet
NYP60F PLC Kumanda Panosu 1 Adet
NYP60F Pres Soğutma ünitesi 1 Adet
NYP60F Pres Soğutma ünitesi Hortumları 2 Adet
NYP60F Mil sıkma hidrolik somunu 1 Adet
NYP60F Mil sıkma hidrolik pompa aparatı ve kolu 3 parça
NYP60F Mil sıkma hidrolik pompası 1 Adet
NYP60F Hidrolik mil sıkma pompa hortumları 2 Adet
NYP60F Pres anahtarı 3 Adet
NYP60F Pres askı aparatı 1 Adet
NYP60F Şaryo 1 Adet
Teknik Dosya 1 Adet</t>
  </si>
  <si>
    <t>OR023-2018
Şenpiliç</t>
  </si>
  <si>
    <t>40 D 408</t>
  </si>
  <si>
    <t>Destilation Column Head</t>
  </si>
  <si>
    <t>Rising Film Evaporator (39m²)</t>
  </si>
  <si>
    <t>OR025-2018
Carthage Grains</t>
  </si>
  <si>
    <t>NYP30 SPC 3700 V kayış 8 adet
NYP30 SPC 3700 V kayış (Yedek) 8 adet
NYP30 Pres anahtarı 2 adet
NYP30 Pres Mil askı aparatı 1 adet
NYP30 Pres Mil askı aparatı kolu 2 Adet
NYP30 Mil sıkma hidrolik somunu 1 adet
NYP30 Mil sıkma hidrolik pompası 1 adet
NYP30 Hidrolik mil sıkma pompa hortumları 2 Adet
NYP30 Mil sıkma hidrolik pompa aparatı ve kolu 3 parça
NYP30 Şaryo 2 adet
NYP30 Kafes Bıçak Civatası M16x35 İmbus 80 Adet
NYP30 Pres Soğutma ünitesi (Hortumları ile beraber) 1 Adet
NYP30 Elektrik PLC Panosu 1 Adet
Teknik Döküman 1 Adet</t>
  </si>
  <si>
    <t>OR027-2016
Kimia Dane Fars</t>
  </si>
  <si>
    <t>NYP60 Model Yağ Presi</t>
  </si>
  <si>
    <t xml:space="preserve">NYP60 Model Yağ Pres Yediricisi 
(2 Adet 5,5 kw Redüktör Akuple) </t>
  </si>
  <si>
    <t>NYP60 Pres Motoru 500 kw,
(Kasnak ve şasesi ile beraber)</t>
  </si>
  <si>
    <t>NYP60 Pres Kasnak Koruması 1 Adet
NYP60 Pres Kasnak Koruma ayağı 2 Adet</t>
  </si>
  <si>
    <t>NYP60 Pres kafes hidrolik açma ünitesi ve arabası 2 Adet
NYP60 Pres Hidrolik Ünite Bağlantı Hortumu 2 Adet
NYP60 Pres Kafes açma pistonu 1 Adet
NYP60 Pres Kafes açma piston aparatı 1 Adet</t>
  </si>
  <si>
    <t>NYP60 SPD4500 V kayış 11 adet
NYP60 SPD4500 V kayış (Yedek) 11 adet
NYP60 Elektrik Kumanda Panosu 1 Adet
NYP60 Pres Soğutma ünitesi 1 Adet
NYP60 Pres Soğutma ünitesi Hortumları 2 Adet
NYP60 Mil sıkma hidrolik somunu 1 Adet
NYP60 Mil sıkma hidrolik pompa aparatı ve kolu 3 parça
NYP60 Mil sıkma hidrolik pompası 1 Adet
NYP60 Hidrolik mil sıkma pompa hortumları 2 Adet
NYP60 Pres anahtarı 2 Adet
NYP60 Pres askı aparatı 1 Adet
NYP60 Şaryo 2 Adet
NYP60 Şaryo aparatı 2 Adet
NYP60 Yedirici montaj kelepçesi 1 Adet
NYP60 Kafes Pnömatik Somun sıkma makinası 1 adet
NYP60 Kafes Pnömatik Somun AA70 lokması 1 adet
NYP60 Teknik Dosya 1 Adet</t>
  </si>
  <si>
    <t>OR028-2017
Negin Daneh Sahra</t>
  </si>
  <si>
    <t>FS816 Vals Makinası 800x1600</t>
  </si>
  <si>
    <t>FS816 Vals Kaldırma Aparatı st37</t>
  </si>
  <si>
    <t>SPC-6000 V Kayışı (Yedek) 8 Adet
SPC-5000 V Kayışı (Yedek) 8 Adet
Vals Hidrolik Ünitesi 1 Adet
Hidrolik yağ hortumları 6 Adet
Plastik titreşim takozları 22 Adet
Vals anahtarı 2 adet
PLC Kontrol Panosu 1 Adet
Camlogic Seviye Şalteri PFG 05 ATFV 24CC 24 V.DC.1 Adet
M42x500 Gijon Galv.St8.8 - 8 Adet
M42 somun (akb) GalvSt DIN 934 - 8 Adet
M42 rondela (düz) GalvSt DIN 125 - 8 Ade
1xRTD PT100 Kablosu (20 Metre) 1 Adet
Vals Topu Kaldırma Aparatı 1 Adet
Vals Topu Ayar Mili 1 Adet
2,2 Kw Redüktörlü Motor 1 Adet
Teknik Döküman 1 Adet</t>
  </si>
  <si>
    <t>OR029-2017
Agro Plant</t>
  </si>
  <si>
    <t>50F01-50D06</t>
  </si>
  <si>
    <t>Crude Oil Tank - Swelling Tank
(5,5kW 34 d/d Motor, redüktör dahil)</t>
  </si>
  <si>
    <t>Crude Oil Tank - Swelling Tank için Nozül Borusu</t>
  </si>
  <si>
    <t>50D11-50F09</t>
  </si>
  <si>
    <t>Oil Dryer - Degummed Oil Intermediate Tank</t>
  </si>
  <si>
    <t>Oil Dryer - Degummed Oil Intermediate Tank için Menhol</t>
  </si>
  <si>
    <t>50HW6</t>
  </si>
  <si>
    <t>Hot Well Tank</t>
  </si>
  <si>
    <t>50F08</t>
  </si>
  <si>
    <t>Crude Lecithin Sludge Receiver
(4kW 65 d/d Motor, redüktör dahil)</t>
  </si>
  <si>
    <t>50 E 10</t>
  </si>
  <si>
    <t>Oil Heater</t>
  </si>
  <si>
    <t>OR029-2018
Klas Olio</t>
  </si>
  <si>
    <t>Saddle</t>
  </si>
  <si>
    <t>OR030-2018
Carthage Grains</t>
  </si>
  <si>
    <t>Vent Condenser Ø560</t>
  </si>
  <si>
    <t>NYP15 SPC 3600 V kayış   6 adet
NYP15 SPC 3600 V kayış  (yedek)  6 adet
NYP15 Vidalı Pres  Soğutma Ünitesi  1 adet
NYP15 Vidalı Pres  Soğutma Ünitesi Hortum  2 adet
NYP15 Vidalı Pres  Anahtar  1 adet
NYP15 Vidalı Pres  Şaft Destek Aparatı  1 adet
NYP15 Şaft Sıkma Hidrolik Somun  1 adet
NYP15 Şaft Sıkma Hidrolik Pompa   1 adet
NYP15 Hidrolik Şaft Sıkma Pompa Hortumu  1 adet
NYP15 Şaft Sıkma Hidrolik Pompa Aparatları ve Kolu 2 adet
NYP15 Taşıma 1 adet
NYP15 Pres Üst Baca Flanşı 1 Adet
NYP15 Vidalı Pres Hidrolik Kafes Açma Unitesi ve El arabası  2 adet
NYP15 Vidalı Pres Hidrolik Ünite Bağlantı Hortumu  2 adet
NYP15 Vidalı Pres Kafes Açma Pistonu 1 adet
NYP15 Vidalı Pres Kafes Açma Piston Aparatı  1 adet
NYP15 Teknik Doküman 1 adet</t>
  </si>
  <si>
    <t>OR034-2017
Pet Agro Oil</t>
  </si>
  <si>
    <t>NYT24-7  Tava
Motor, Redüktör ve Tip : BYK / RU 20 M Fan Dahil)</t>
  </si>
  <si>
    <t>20 G 20.1</t>
  </si>
  <si>
    <t>Rotary Vana</t>
  </si>
  <si>
    <t>20 G 20.2</t>
  </si>
  <si>
    <r>
      <rPr>
        <b/>
        <sz val="8"/>
        <rFont val="Arial"/>
        <family val="2"/>
        <charset val="162"/>
      </rPr>
      <t>KS416-400x1600 Tek Kademeli Kanola Kırma Enstürümanları</t>
    </r>
    <r>
      <rPr>
        <sz val="8"/>
        <rFont val="Arial"/>
        <family val="2"/>
        <charset val="162"/>
      </rPr>
      <t xml:space="preserve">
V-Kayışı SPB L:3750 mm (Yedek) 6 Adet
Duble V-Kayışı BB/HBB 131 L:3375 mm (Yedek) 8 Adet
Disk Yay A100X51X6, lo=8,2 mm DIN 2093 (Yedek) 22 Adet
240x400mm EPDM Titreşim önleyici plaka 2 adet
240x340mm EPDM Titreşim önleyici plaka 2 adet
60x60mm EPDM Titreşim önleyici plaka 4 adet
KM21 Anahtarı 1 adet 
KM6 Anahtarı 1 adet 
Hidrolik Ünite 1 Adet
Hidrolik Ünite Hortumları 2 Adet
1,1 Kw Redüktörlü Motor 1 Adet
2,2 Kw Redüktörlü Motor 1 Adet</t>
    </r>
  </si>
  <si>
    <t>OR 012-2015
Bunge Türkiye</t>
  </si>
  <si>
    <t>KS313 Kırma</t>
  </si>
  <si>
    <t>SPB 3150 V-Kayışı 6 Adet
Duble V-Kayışı BB/HBB 101 L:2650 mm 10 Adet
EPDM Titreşim önleyici plaka 10 adet
Kırma Anahtarı 4 adet
Seviye Şalteri PFG 05 ATFV 24CC 24 V.DC. Exp 1 Adet
Yedirici Redüktörü 2.2 kw 1 Adet</t>
  </si>
  <si>
    <r>
      <rPr>
        <b/>
        <sz val="8"/>
        <rFont val="Arial"/>
        <family val="2"/>
        <charset val="162"/>
      </rPr>
      <t>KD313 300x1300 İki Kademeli Kırma Enstürümanları</t>
    </r>
    <r>
      <rPr>
        <sz val="8"/>
        <rFont val="Arial"/>
        <family val="2"/>
        <charset val="162"/>
      </rPr>
      <t xml:space="preserve">
Duble V-Kayışı BB/HBB 102 L:2650 mm (Yedek) 20 Adet
V-Kayışı SPB L:4200 mm (Yedek) 6 Adet
V-Kayışı SPB L:3100 mm (Yedek) 6 Adet
240x400mm EPDM Titreşim önleyici plaka 8 adet
60x60mm EPDM Titreşim önleyici plaka 8 adet
KM17/20 Anahtarı 1 adet 
KM6 Anahtarı 1 adet 
Hidrolik Ünite 2 Adet
Hidrolik Ünite Hortumları 4 Adet
1,1 Kw Redüktörlü Motor 2 Adet
2,2 Kw Redüktörlü Motor 2 Adet
Numune Alma Aparatı 2 Adet
Telemecanique  OsiSense XS108B3PAL2  4 adet</t>
    </r>
  </si>
  <si>
    <t>NYP30 Model Yağ Pres Motoru 250 KW
(Kasnak, şase ile beraber)</t>
  </si>
  <si>
    <t>NYP30 Pres Kasnak Koruması 1 Adet
NYP30 Pres Kasnak Koruma ayakları 2 Adet
NYP30 Şaryo Askı Aparatı 1 Adet</t>
  </si>
  <si>
    <t>NYT2400x9 Tava
(Motor, Redüktör ve Tip : VE1 a RU 140 M) GL90 Fan Dahil)</t>
  </si>
  <si>
    <t>FS613 Vals</t>
  </si>
  <si>
    <t>SPB 4500 V-Kayış (Yedek) 8 Adet
SPB 4000 V-Kayış (Yedek) 8 Adet
Vals Hidrolik Ünitesi 1 Adet
Hidrolik yağ hortumları 4 Adet
EPDM Titreşim önleyici plaka 22 Adet
Vals anahtarı 2 adet
Seviye Şalteri PFG 05 ATFV 24CC 24 V.DC. Exp 1 Adet</t>
  </si>
  <si>
    <t>Vals ve Kırma Kaldırma Aparatı</t>
  </si>
  <si>
    <t>Agitator Shaft for Crude Oil Tank 1 Adet
(Foots oil Tank Agitators parts)
Agitator Shaft  for Oil Washing - 1 Adet
(Bleacher Agitator parts)
Agitator Shaft for Drying Tank - 1 Adet
(Neutralizator Agitator Parts)</t>
  </si>
  <si>
    <t>Agitator Drive for Oil Washing Parts - 1 Adet
(Bleacher Agitator parts, Gearbox, 5,5 kw Motor)
Agitator Drive for Drying Tank Part2 - 1 Adet
(Neutralizator Agitator Parts, Gearbox, 5,5 kw Motor)</t>
  </si>
  <si>
    <t>Agitator Driver for Crude Oil Tank 1 Adet
(Foots oil Tank Agitators parts, Gearbox, 4 kw Motor)
Agitators 6 Adet
Bottom bearing House 3 Adet</t>
  </si>
  <si>
    <t>Falling film evaporator (AISI304)</t>
  </si>
  <si>
    <t>(1E704) Rasing Film Evaporator (AISI304)</t>
  </si>
  <si>
    <t>OR037-2018
Cargill</t>
  </si>
  <si>
    <t>OR038-2018
Cargill</t>
  </si>
  <si>
    <t>Batten</t>
  </si>
  <si>
    <t>30 G 17.1</t>
  </si>
  <si>
    <t>Conveyor 3 kw, 80 d/d, L=9641 mm Type: Flat</t>
  </si>
  <si>
    <t>30 G 17.2</t>
  </si>
  <si>
    <t>Conveyor 3 kw, 200 d/d, h=7737 mm Type: Upright</t>
  </si>
  <si>
    <t>30 G 17.3</t>
  </si>
  <si>
    <t>Conveyor 1,5 kw, 80 d/d, L=3163 mm Type: Flat</t>
  </si>
  <si>
    <t>30 G 17.4</t>
  </si>
  <si>
    <t>Conveyor 2,2 kw, 40 d/d, L=4927 mm Type: Flat</t>
  </si>
  <si>
    <t>30 G 17.5</t>
  </si>
  <si>
    <t>Conveyor 2,2 kw, 60 d/d, L=4300 mm Type: Flat</t>
  </si>
  <si>
    <t>30 G 17.6</t>
  </si>
  <si>
    <t>Conveyor 2,2 kw, 200 d/d, h=3700 mm Type: Upright</t>
  </si>
  <si>
    <t>30 G 17.7</t>
  </si>
  <si>
    <t>Conveyor 1,5 kw, 60 d/d, L=3803 mm Type: Flat</t>
  </si>
  <si>
    <t>30 G 17.8</t>
  </si>
  <si>
    <t>Conveyor 1,5 kw, 10 d/d, L=3803 mm Type: Flat</t>
  </si>
  <si>
    <t>30 G 17.9</t>
  </si>
  <si>
    <t>Elevator 1,5 kw, 37 d/d Type: Bucket</t>
  </si>
  <si>
    <t>HSB200 AISI304</t>
  </si>
  <si>
    <t>HSB200 st37</t>
  </si>
  <si>
    <t>Kayan Hücreli Ekstraktör HSB2000 
(Elekler ve Ray Sistemi Dahil)</t>
  </si>
  <si>
    <t>HSB200</t>
  </si>
  <si>
    <t>HSB200 AISI304+st37</t>
  </si>
  <si>
    <t>HSB200      AISI 304</t>
  </si>
  <si>
    <t>HSB200     GS-52</t>
  </si>
  <si>
    <t>Elastik kaplin (HSB200 Toster Redüktör) RBS-600 1 adet  ÇMS</t>
  </si>
  <si>
    <t>HSB200            AISI 304</t>
  </si>
  <si>
    <t>HSB200 st35,8</t>
  </si>
  <si>
    <t>HSB200 
St37-2</t>
  </si>
  <si>
    <t>HSB200
st37</t>
  </si>
  <si>
    <t>HSB200 Karbon Çeliği / st37</t>
  </si>
  <si>
    <t>HSB200
AISI 304</t>
  </si>
  <si>
    <t>HSB200
Döküm</t>
  </si>
  <si>
    <t>HSB200
AISI304</t>
  </si>
  <si>
    <t>HSB320
AISI 304</t>
  </si>
  <si>
    <t>HSB320
S235JR</t>
  </si>
  <si>
    <t>HSB320</t>
  </si>
  <si>
    <t>HSB320
CK45</t>
  </si>
  <si>
    <t>HSB320
S235JR+ AISI304</t>
  </si>
  <si>
    <t>HSB480     AISI304</t>
  </si>
  <si>
    <t>HSB480     st37</t>
  </si>
  <si>
    <t>HSB480</t>
  </si>
  <si>
    <t>HSB480 Döküm GS52</t>
  </si>
  <si>
    <t>HSB480 AISI304</t>
  </si>
  <si>
    <t>HSB750
st37</t>
  </si>
  <si>
    <t>HSB750
AISI 304</t>
  </si>
  <si>
    <t>HSB750 
AISI 304</t>
  </si>
  <si>
    <t>HSB750</t>
  </si>
  <si>
    <t>HSB750
AISI 304 + P265GH+st37</t>
  </si>
  <si>
    <t>HSB750
st52</t>
  </si>
  <si>
    <t>HSB750
GS52</t>
  </si>
  <si>
    <t>HSB750
CK45</t>
  </si>
  <si>
    <t>HSB750
P265GH</t>
  </si>
  <si>
    <t>HSB1330</t>
  </si>
  <si>
    <t>NYT20-5</t>
  </si>
  <si>
    <r>
      <rPr>
        <b/>
        <sz val="8"/>
        <rFont val="Arial"/>
        <family val="2"/>
        <charset val="162"/>
      </rPr>
      <t>FS821 800x2100 Vals Enstürümanları</t>
    </r>
    <r>
      <rPr>
        <sz val="8"/>
        <rFont val="Arial"/>
        <family val="2"/>
        <charset val="162"/>
      </rPr>
      <t xml:space="preserve">
SPC L=5100 mm Kayış (Yedek) 10 adet
SPC L=6100 mm Kayış (Yedek) 10 adet
240x400mm EPDM Titreşim önleyici plaka 14 adet
120x120mm EPDM Titreşim önleyici plaka 8 adet
Vals anahtarı 1 adet
Vals Hidrolik Ünite 1 Adet
Hidrolik Ünite Hortumları 6 Adet
Vals Topu Kaldırma Aparatı 1 Adet
Vals Topu Ayar Mili 2 Adet
Telemecanique  OsiSenseXS108B3PAL2  4 adet
Telemecanique XSA-V11801  1 adet
Sinyal Dönüştürücü 4 Adet
Rezistans Termometre (-50, +150°C) 4 Adet
2,2 kw 1400 d/d Motor EEx d IIBT4 Exproof B5 Sf:1 - 1 Adet
Kontrol enstrümanları, kontrol vanaları, lokal enstrümanlar 31 Adet
Numune Alma Aparatı 1 Adet</t>
    </r>
  </si>
  <si>
    <r>
      <rPr>
        <b/>
        <sz val="8"/>
        <rFont val="Arial"/>
        <family val="2"/>
        <charset val="162"/>
      </rPr>
      <t>KD313 300x1300 İki Kademeli Kırma Enstürümanları</t>
    </r>
    <r>
      <rPr>
        <sz val="8"/>
        <rFont val="Arial"/>
        <family val="2"/>
        <charset val="162"/>
      </rPr>
      <t xml:space="preserve">
Duble V-Kayışı BB/HBB 101 L:2650 mm (Yedek) 10 Adet
V-Kayışı SPB L:4250 mm (Yedek) 6 Adet
V-Kayışı SPB L=3150 mm (Yedek) 6 Adet
Disk Yay De=80,Di=41,t=4,lo=6,2 mm DIN 2093(Yedek)120 Adet
240x400mm EPDM Titreşim önleyici plaka 4 adet
60x60mm EPDM Titreşim önleyici plaka 4 adet
KM15 Anahtarı 1 adet 
KM6 Anahtarı 1 adet 
Seviye Şalteri TİP:PFG05-ATFV-1122 - 220V AC 50Hz 1 Adet
Hidrolik Ünite 1 Adet
Hidrolik Ünite Hortumları 2 Adet</t>
    </r>
  </si>
  <si>
    <t>HSB100</t>
  </si>
  <si>
    <t>OR 031-2018
Altınmay</t>
  </si>
  <si>
    <t>40 D 201.1
40 D 201.4-1
40 D 201.5
40 D 201.8
40 D 201.9</t>
  </si>
  <si>
    <t>Kovalar (1 SetToplam:46 Adet)</t>
  </si>
  <si>
    <t>Sonsuz Zincir Mekanizması</t>
  </si>
  <si>
    <t>40 D 201.6
40 D 201.11
40 D 201.13
40 D 201.14</t>
  </si>
  <si>
    <t xml:space="preserve">Ekstraktör Besleme Cihazı
</t>
  </si>
  <si>
    <t>40 D 201.10
40 D 201.12</t>
  </si>
  <si>
    <t>Ekstraktör Ana Tahrik Redüktörü ve Exproof Motoru 1,5 KW</t>
  </si>
  <si>
    <t>Misella Ön Isıtıcı</t>
  </si>
  <si>
    <t>Solvent Ön Isıtıcı</t>
  </si>
  <si>
    <t>Vidalı Konveyör</t>
  </si>
  <si>
    <t>40 E 303
40 F 321</t>
  </si>
  <si>
    <t>40 E 303 Atık Su Desolventizeri
40 F 321 Kondens Buhar Tankı</t>
  </si>
  <si>
    <t>40 E 405
40 D 406</t>
  </si>
  <si>
    <t>40 E 405 Yükselen Film Evaporatörü
40 D 406 Flaş Deposu</t>
  </si>
  <si>
    <t>40 D 410</t>
  </si>
  <si>
    <t>Rotary Valf (Exproof motor - redüktör ile birlikte)</t>
  </si>
  <si>
    <t>Desolventizer-Toaster-Cooler (DTC) - Ø2000mm x 4 Kat</t>
  </si>
  <si>
    <t>(DTC) Toaster Kaldırma Aparatı</t>
  </si>
  <si>
    <t>Toaster Redüktör Elastik Kaplin DYHK-560 - 1/2
Elastik Kaplin DYHK-560 Yedek Lastik 2 Adet</t>
  </si>
  <si>
    <r>
      <t xml:space="preserve">Dönel Vana
</t>
    </r>
    <r>
      <rPr>
        <sz val="10"/>
        <color indexed="10"/>
        <rFont val="Arial"/>
        <family val="2"/>
        <charset val="162"/>
      </rPr>
      <t>(1,5 kW, 36 D/D EV100-2E90L/4c Exproof Motorlu Redüktör)</t>
    </r>
  </si>
  <si>
    <t>40 D 701 Absorpsiyon Kolonu
40 F 722 Mineral Yağ Tankı</t>
  </si>
  <si>
    <t>40 SP 01</t>
  </si>
  <si>
    <t>Steam separator</t>
  </si>
  <si>
    <t>TDE 723
TDE 725
TDE 7180
TDE 645
TN-00</t>
  </si>
  <si>
    <t>TDE 723 Kondensat-Siphon 3 Adet
TDE 725 Su Alıcısı 1 Adet
TDE 7180 Huni 4 Adet
TDE 509-503-535-538-501-511-510-542-534 Orifis Plakaları 9 Adet
TDE 645 Hat Körleme Sacı 1 Adet
TN-00 Termometre Nozülü 30 Adet</t>
  </si>
  <si>
    <r>
      <rPr>
        <b/>
        <sz val="8"/>
        <rFont val="Arial"/>
        <family val="2"/>
        <charset val="162"/>
      </rPr>
      <t>Toaster Ana Dişli Kutusu</t>
    </r>
    <r>
      <rPr>
        <sz val="8"/>
        <rFont val="Arial"/>
        <family val="2"/>
        <charset val="162"/>
      </rPr>
      <t xml:space="preserve">
Toaster Redüktör Şasesi 1 Adet
Toaster Redüktörü 1 adet
Toaster Ana Tahrik Motoru Motoru 37 Kw 1 adet
Toaster Hidrolik Kaplini KGR13- 1 adet
Toaster Redüktör Elastik Kaplin DYHK-560 - 1/2</t>
    </r>
  </si>
  <si>
    <r>
      <t xml:space="preserve">Zincirli Konveyör Tahrik Kısmı
</t>
    </r>
    <r>
      <rPr>
        <sz val="10"/>
        <color indexed="10"/>
        <rFont val="Arial"/>
        <family val="2"/>
        <charset val="162"/>
      </rPr>
      <t>11 KW, 36 d/d   MV603-160M Exproof</t>
    </r>
  </si>
  <si>
    <r>
      <t xml:space="preserve">Zincir Konveyör Dirsek </t>
    </r>
    <r>
      <rPr>
        <sz val="10"/>
        <color indexed="10"/>
        <rFont val="Arial"/>
        <family val="2"/>
        <charset val="162"/>
      </rPr>
      <t>76</t>
    </r>
    <r>
      <rPr>
        <sz val="10"/>
        <color indexed="10"/>
        <rFont val="Arial Tur"/>
        <charset val="162"/>
      </rPr>
      <t>º</t>
    </r>
  </si>
  <si>
    <t>NYP4</t>
  </si>
  <si>
    <t>NYP4 Model Yağ Presi (MOTOR AKSAM HARİÇ)</t>
  </si>
  <si>
    <t>NYP4 Model Yağ Pres Motoru 110 KW</t>
  </si>
  <si>
    <t>NYP4 Döküm 4140</t>
  </si>
  <si>
    <t>NYP4 Helezon APT-1 NYP4-01-012</t>
  </si>
  <si>
    <t>NYP4 Helezon APH-2 NYP4-01-014</t>
  </si>
  <si>
    <t>NYP4 SAE 4140</t>
  </si>
  <si>
    <t>NYP4 Helezon APH-3 NYP4-01-016</t>
  </si>
  <si>
    <t>NYP4 Helezon AH-4 NYP4-01-018</t>
  </si>
  <si>
    <t>NYP4 Helezon AH-5 NYP4-01-021</t>
  </si>
  <si>
    <t>NYP4 Konik APT-1 NYP4-01-013</t>
  </si>
  <si>
    <t>NYP4 Konik APT-2 NYP4-01-015</t>
  </si>
  <si>
    <t>NYP4 Konik APT-3 NYP4-01-017</t>
  </si>
  <si>
    <t>NYP4 Konik APT-4.1 NYP4-01-019</t>
  </si>
  <si>
    <t>NYP4 Konik APT-4.2 NYP4-01-020</t>
  </si>
  <si>
    <t>NYP4 Konik AT-5.1 NYP4-01-022</t>
  </si>
  <si>
    <t>NYP4 Konik AT-5.2 NYP4-01-023</t>
  </si>
  <si>
    <t>NYP4 Konik AT-6 NYP4-01-025</t>
  </si>
  <si>
    <t>NYP4 Dişli Sıyırgı Bıçağı-1 NYP4-01-027</t>
  </si>
  <si>
    <t>NYP4 Dişli Sıyırgı Bıçağı-2 NYP4-01-028</t>
  </si>
  <si>
    <t>NYP4 Dişli Sıyırgı Bıçağı-3 NYP4-01-030</t>
  </si>
  <si>
    <t>NYP4 Dişli Sıyırgı Bıçağı-4 NYP4-01-031</t>
  </si>
  <si>
    <t>NYP4 Dişli Sıyırgı Bıçağı-5 NYP4-01-032</t>
  </si>
  <si>
    <t>NYP4 Dişli Sıyırgı Bıçağı-6 NYP4-01-033</t>
  </si>
  <si>
    <t>NYP4 Düz Sıyırgı Bıçağı-1 NYP4-01-034</t>
  </si>
  <si>
    <t>NYP4 Düz Sıyırgı Bıçağı-2 NYP4-01-035</t>
  </si>
  <si>
    <t>NYP4 Düz Sıyırgı Bıçağı-3 NYP4-01-036</t>
  </si>
  <si>
    <t>NYP4 Düz Sıyırgı Bıçağı-4 NYP4-01-037</t>
  </si>
  <si>
    <t>NYP4 Düz Sıyırgı Bıçağı-5 NYP4-01-038</t>
  </si>
  <si>
    <t>NYP4 Düz Sıyırgı Bıçağı-6 NYP4-01-039</t>
  </si>
  <si>
    <t>NYP4 Kafes içi Hilali NYP4-01-029</t>
  </si>
  <si>
    <t>NYP4 Boğaz Koniği Hilali NYP4-01-042</t>
  </si>
  <si>
    <t>NYP4 Boğaz Koniği NYP4-01-044</t>
  </si>
  <si>
    <t>NYP4 Kısa Bıçak NYP-06-01-01</t>
  </si>
  <si>
    <t>NYP4 Kısa Köprülü Bıçak NYP-06-01-02</t>
  </si>
  <si>
    <t>NYP4 Uzun Bıçak NYP-06-01-03</t>
  </si>
  <si>
    <t>NYP4 Uzun Köprülü Bıçak NYP-06-01-02</t>
  </si>
  <si>
    <t>NYP4 Layner</t>
  </si>
  <si>
    <t>NYP15</t>
  </si>
  <si>
    <t>NYP15 Model Yağ Presi (Motor, Kasnak Koruma Hariç) (Yedirici Dahil) Komple bitmiş olarak</t>
  </si>
  <si>
    <t>NYP15 Pres Motoru 132 KW 1500 d/d GM 315M 4a B3 Ayaklı, NU Rulmanlı Termistörlü (Kasnak Hariç) (Şasesi ile beraber)</t>
  </si>
  <si>
    <t>NYP15 Pres Motoru 132 KW 1500 d/d GM 315M 4a B3 Ayaklı, NU Rulmanlı Termistörlü (Kasnak Dahil) (Şasesi ile beraber)</t>
  </si>
  <si>
    <t>NYP15 Pres Kasnak Koruması 3 adet /                                                          Şaryo taşıma aparatı 1 adet</t>
  </si>
  <si>
    <t>NYP15-11-01-05 Planet Redüktör Yağı Soğutma Sistemi Eşanjörü</t>
  </si>
  <si>
    <t>NYP15-03-01 Ana Mil (Ç4140 Islahlı)</t>
  </si>
  <si>
    <t>NYP15-03-14 Somun-1 (1 Pres için 2 adet kullanılıyor) (Ç4140)</t>
  </si>
  <si>
    <t>NYP15-03-18 Somun-2 (1 Pres için 2 adet kullanılıyor) (Ç4140)</t>
  </si>
  <si>
    <t>NYP15-03-03 Helezon-1 Hatve:200 mm
SAE4340 Döküm</t>
  </si>
  <si>
    <t>NYP15-03-05 Helezon-2 Hatve:175 mm
SAE4340 Döküm</t>
  </si>
  <si>
    <t>NYP15-03-06 Helezon-3 Hatve=178 mm Ç4140</t>
  </si>
  <si>
    <t>NYP15-03-07 Helezon-4 Hatve=160 mm Ç4140</t>
  </si>
  <si>
    <t>NYP15-03-09 Helezon-5 Hatve=168 mm Ç4140</t>
  </si>
  <si>
    <t>NYP15-03-06 Helezon-6 Hatve=155 mm Ç4140</t>
  </si>
  <si>
    <t>NYP15-03-02 Trapez Takoz Ç4140</t>
  </si>
  <si>
    <t>NYP15-03-04 Konik-1 Ç4140</t>
  </si>
  <si>
    <t>NYP15-03-08 Konik-2 Ç4140</t>
  </si>
  <si>
    <t>NYP15-03-10 Konik-3 Ç4140</t>
  </si>
  <si>
    <t>NYP15-03-12 Konik-4 Ç4140</t>
  </si>
  <si>
    <t>NYP15-03-13 Baskı Parçası Ç4140</t>
  </si>
  <si>
    <t>NYP15-03-17 Küspe Bıçağı Ç4140 (1 Pres için 4 adet Kullanılıyor)</t>
  </si>
  <si>
    <t>NYP15-03-19 Kelepçe (Ç4140 Islahlı)</t>
  </si>
  <si>
    <t>NYP15-15 Adaptör Kiliti S235JR (2 Parçalı) 19 kg/ad</t>
  </si>
  <si>
    <t>NYP15-17 Kafes Pimi-1 Ç4140 (2 Parçalı) 3,4 kg/ad</t>
  </si>
  <si>
    <t>NYP15-18 Kafes Pimi-1 Ç4140 (2 Parçalı) 4,8 kg/ad</t>
  </si>
  <si>
    <t>NYP15-19 Kafes Pimi Somunu (1 Pres için 4 adet Kullanılıyor) 2,5 kg/ad</t>
  </si>
  <si>
    <t>NYP15-04-15 Kafes Civatası (38 tk/pres) 9,8 kg/takım</t>
  </si>
  <si>
    <t>NYP15-02-04 Salmastra Yuvası</t>
  </si>
  <si>
    <t>NYP15-02-05 Salmastra Baskı Parçası</t>
  </si>
  <si>
    <t>NYP15F</t>
  </si>
  <si>
    <t>NYP30 Model Yağ Presi 
(Motor-Kasnak-Şase, yedirici Hariç)</t>
  </si>
  <si>
    <t>NYP30</t>
  </si>
  <si>
    <t>NYP30 Model Yağ Pres Gövdesi (İŞLENMEMİŞ)</t>
  </si>
  <si>
    <t>NYP30 Model Yağ Presi (Motor-Kasnak-Şase Hariç)
(Küspe Kırıcı Dahil)</t>
  </si>
  <si>
    <t>NYP30 Model Yağ Presi (Motor-Kasnak-Şase Hariç)</t>
  </si>
  <si>
    <t>NYP30 Model Yağ Prese Ait Motor+Kasnak+Şase</t>
  </si>
  <si>
    <t>NYP30 Model Yağ Pres Motoru 250 KW</t>
  </si>
  <si>
    <t>NYP30 Model Yağ Pres Motoru 250 KW GAMAK</t>
  </si>
  <si>
    <t xml:space="preserve">NYP30 Model Yağ Pres Redüktör Soğutucu </t>
  </si>
  <si>
    <t>NYP30-03-01 Pres Ana Mil</t>
  </si>
  <si>
    <t>NYP30-03-02 Trapez Takoz</t>
  </si>
  <si>
    <t>NYP30-03-05 Helezon-3a Hatve=148 mm (Açık Tip)</t>
  </si>
  <si>
    <t>NYP30-03-06 Helezon-4a Hatve=142 mm (Açık Tip)</t>
  </si>
  <si>
    <t>NYP30-03-08 Helezon-5a Hatve=138 mm (Açık Tip)</t>
  </si>
  <si>
    <t>NYP30-03-10 Helezon-6a Hatve=132 mm (Açık Tip)</t>
  </si>
  <si>
    <t>NYP30-03-06 Helezon-4 Hatve=142 mm (Standart Tip)</t>
  </si>
  <si>
    <t>NYP30-03-08 Helezon-5 Hatve=138 mm (Standart Tip)</t>
  </si>
  <si>
    <t>NYP30-03-10 Helezon-6 Hatve=132 mm (Standart Tip)</t>
  </si>
  <si>
    <t>NYP30-03-07 Konik-1 (Ortak)</t>
  </si>
  <si>
    <t>NYP30-03-09 Konik-2 (Ortak)</t>
  </si>
  <si>
    <t>NYP30-03-11 Boğaz Koniği (Ortak)</t>
  </si>
  <si>
    <t>NYP30-03-12 Baskı Parçası</t>
  </si>
  <si>
    <t>NYP30-03-13 Mil Somunu</t>
  </si>
  <si>
    <t>NYP30-03-16 Küspe Bıçağı (4 Adet)</t>
  </si>
  <si>
    <t>NYP30 Model Yağ Presi Gövdesi (Kaynaklı İmalat)</t>
  </si>
  <si>
    <t xml:space="preserve">NYP30 Model Yağ Presi (Motor-Kasnak-Şase Hariç)
(Küspe Kırıcı Dahil) </t>
  </si>
  <si>
    <t>NYP30 Model Yağ Pres Motoru 250 KW
(Kasnaklar, şase, kaplin, 22 kw redüktörlü motor ile beraber)</t>
  </si>
  <si>
    <t>NYP30 Model Yağ Presi (Motor-Kasnak-Şase, Küspe Kırıcı Hariç) Yedirici Dahil (Yağsız)</t>
  </si>
  <si>
    <t>NYP30 Model Yağ Pres Yediricisi</t>
  </si>
  <si>
    <t>NYP30 Model Yağ Pres Motoru 250 KW (Şase ile Birlikte)</t>
  </si>
  <si>
    <t>NYP30 Pres hidrolik kafes açma ünite ve arabası 2 Prç
NYP30 Pres Hidrolik Ünite Bağlantı Hortumu 2 Adet
NYP30Pres Kafes açma pistonu 1 adet
NYP30 Pres Kafes açma piston aparatı 1 adet</t>
  </si>
  <si>
    <t>NYP30 SPC 3700 V kayış 8 adet
NYP30 SPC 3700 V kayış (Yedek) 8 adet
NYP30 Pres anahtarı 2 adet
NYP30 Pres askı aparatı 1 adet
NYP30 Kafes Pnömatik Somun sıkma makinası 1 adet
NYP30 Kafes Pnömatik Somun AA70 lokması 1 adet
NYP30 Mil sıkma hidrolik somunu 1 adet
NYP30 Mil sıkma hidrolik pompası 1 adet
NYP30 Hidrolik mil sıkma pompa hortumları 2 Adet
NYP30 Mil sıkma hidrolik pompa aparatı ve kolu 3 parça
NYP30 Şaryo 1 adet
NYP30 Pres Soğutma ünitesi (2 Ader Hortumları dahil) 1 Adet
NYP30 Pres yedirici askı aparatı 1 Adet
NYP30 Pres hidrolik kafes açma ünite ve arabası 2 Prç
NYP30 Pres Hidrolik Ünite Bağlantı Hortumu 2 Adet
NYP30Pres Kafes açma pistonu 1 adet
NYP30 Pres Kafes açma piston aparatı 1 adet
Y140 Kaplin Lastiği (Yedek) 1 Adet
Y200 Kaplin Lastiği (Yedek) 2 Adet
Ø70 Mil İçin Mekanik Salmastra (ROTASEAL/RTHJ-92) 1 Adet
Ø65xØ100x13 yağ keçesi NBR (Yedek) 1 Adet
Ø55xØ80x10 yağ keçesi NBR (Yedek) 2 Adet
Ø64xØ80x8 yağ keçesi NBR (Yedek) 2 Adet
Ø65xØ85x10 yağ keçesi NBR (Yedek) 4 Adet)
Ø135 (iç çap) x Ø5 mm viton O-ring (Yedek) 2 Adet
Teknik Dosya 1 Adet</t>
  </si>
  <si>
    <t>NYP30 Helezon No: 1-2-3-4-5-6 (Toplam 6 Adet)
NYP30 Konik No: 1-2 (Toplam 2 Adet)
NYP30-03-11 Boğaz Koniği 1 Adet
NYP30-04-06~26 Sıyırgı Bıçakları 26 adet
NYP30-04-17 Kafes Bıçağı 600 Adet</t>
  </si>
  <si>
    <t>NYP60</t>
  </si>
  <si>
    <t>NYP60-01 Model Yağ Pres Gövdesi (Kaynaklı konstrüksiyon, Talaşlı imalat sonrası)</t>
  </si>
  <si>
    <t>NYP60-01 Model Yağ Presi (Motor, Kasnak Koruma, Yedirici Hariç) Komple bitmiş olarak</t>
  </si>
  <si>
    <t>NYP60-01 Model Yağ Presi Yediricisi</t>
  </si>
  <si>
    <t>NYP60-Pres Motoru 500 kw, 1500d/d, 600 Volt                    (Kasnak ve şasesi ile beraber)</t>
  </si>
  <si>
    <t>NYP60-01 Model Yağ Pres Gövdesi (Kaynaklı konstrüksiyon, Talaşlı imalat öncesi)</t>
  </si>
  <si>
    <t>NYP60-Pres Motoru 500 kw, 1500d/d, 600 Volt                    (Kasnak ve şasesi ile beraber, Dal elektrik )</t>
  </si>
  <si>
    <t>NYP60-Pres kafes açma hidrolik ünitesi (arabası ile), kafes açma pistonu, Piston aparatı)</t>
  </si>
  <si>
    <t>NYP60-Pres Kasnak koruma, Şaryo taşıma aparatı,</t>
  </si>
  <si>
    <t>NYP60-01 Pres Kafesi 1 parça döküm işlenmemiş GS52</t>
  </si>
  <si>
    <t>NYP60-01 Pres Kafesi 1 parça işlenmiş delik delinmiş finish (Sağ ve Sol kafes ağırlıkları aynıdır.)</t>
  </si>
  <si>
    <t>NYP60-04-21 Pres Kafes Cıvata ve Somunu (62 Tk)</t>
  </si>
  <si>
    <t>NYP60-04-22 Pres Kafes Açma Cıvata &amp; Somun(3 Tk)</t>
  </si>
  <si>
    <t>NYP60-04-23 Pres Kafes Dayama Parçası (3 Adet)</t>
  </si>
  <si>
    <t>NYP60-04-24 Pres Kafes Kesme Plakası (6 Adet)</t>
  </si>
  <si>
    <t>NYP60-04-06 Sıyırgı Bıçağı-1          (20 Adet)</t>
  </si>
  <si>
    <t>NYP60-04-07 Sıyırgı Bıçağı-2          (2 Adet)</t>
  </si>
  <si>
    <t>NYP60-04-08 Sıyırgı Bıçağı-3          (2 Adet)</t>
  </si>
  <si>
    <t>NYP60-04-09 Sıyırgı Bıçağı-4          (2 Adet)</t>
  </si>
  <si>
    <t>NYP60-04-10 Sıyırgı Bıçağı-5          (2 Adet)</t>
  </si>
  <si>
    <t>NYP60-04-11 Sıyırgı Bıçağı-6          (2 Adet)</t>
  </si>
  <si>
    <t>NYP60-04-12 Sıyırgı Bıçağı-7          (2 Adet)</t>
  </si>
  <si>
    <t>NYP60-04-13 Sıyırgı Bıçağı-8          (2 Adet)</t>
  </si>
  <si>
    <t>NYP60-04-14 Sıyırgı Bıçağı-9          (2 Adet)</t>
  </si>
  <si>
    <t>NYP60-04-15 Sıyırgı Bıçağı-10        (2 Adet)</t>
  </si>
  <si>
    <t>NYP60-04-16 Sıyırgı Bıçağı-11        (2 Adet)</t>
  </si>
  <si>
    <t>NYP60-04-17 Sıyırgı Bıçağı-12        (2 Adet)</t>
  </si>
  <si>
    <t>NYP60-04-18 Sıyırgı Bıçağı-13        (2 Adet)</t>
  </si>
  <si>
    <t>NYP60-04-19..20 Pres 10x25 L=300 Kafes Bıçağı 1 ad.</t>
  </si>
  <si>
    <t>NYP60-04-19..20 Pres 10x25 L=200 Kafes Bıçağı 1 ad.</t>
  </si>
  <si>
    <t>NYP60-03-01 Pres Ana Mil</t>
  </si>
  <si>
    <t>NYP60-04-05 Pres Giriş Plakası (2 Adet)</t>
  </si>
  <si>
    <t>NYP60-02-03 Pres Polyamid Parça</t>
  </si>
  <si>
    <t>NYP60-02-04 Pres Salmastra Yuvası</t>
  </si>
  <si>
    <t>NYP60-02-05 Pres Salmastra Baskı Parçası</t>
  </si>
  <si>
    <t>NYP60-08-01(????) Pres Küspe Kırıcı Yatak Tablası</t>
  </si>
  <si>
    <t>NYP60-08-01 Pres Yatak Tablası (2 Adet)</t>
  </si>
  <si>
    <t>NYP60-17 Pres Kafes Pimi-1 (2 Adet)</t>
  </si>
  <si>
    <t>NYP60-18 Pres Kafes Pimi-2 (2 Adet)</t>
  </si>
  <si>
    <t>NYP60-19 Pres Kafes Pimi Somunu (4 Adet)</t>
  </si>
  <si>
    <t>NYP60-03-16 Mil Somunu-1 (2 Adet)</t>
  </si>
  <si>
    <t>NYP60-03-19 Mil Somunu-2 (2 Adet)</t>
  </si>
  <si>
    <t>NYP60-04-02 Kafes Giriş Hilali (2 Adet)</t>
  </si>
  <si>
    <t>NYP60-04-03 Kafes İçi Hilali (2 Adet)</t>
  </si>
  <si>
    <t>NYP60-04-04 Kafes Sonu Hilali (2 Adet)</t>
  </si>
  <si>
    <t>NYP60-16 Boğaz Koniği Hilali (2 Adet)</t>
  </si>
  <si>
    <t>NYP60-03-02 Trapez Takoz</t>
  </si>
  <si>
    <t>NYP60-03-03 Helezon-1 Hatve=318mm
(Malzeme: SAE 4340Döküm)</t>
  </si>
  <si>
    <t>NYP60-03-04 Helezon-2 Hatve=225mm
(Malzeme: SAE 4340Döküm)</t>
  </si>
  <si>
    <t>NYP60-03-05 Helezon-3 Hatve=217mm Ç4140</t>
  </si>
  <si>
    <t>NYP60-03-07 Helezon-4 Hatve=202mm Ç4140</t>
  </si>
  <si>
    <t>NYP60-03-09 Helezon-5 Hatve=197mm Ç4140</t>
  </si>
  <si>
    <t>NYP60-03-11 Helezon-6 Hatve=197mm Ç4140</t>
  </si>
  <si>
    <t>NYP60-03-13 Helezon-7 Hatve=197mm Ç4140</t>
  </si>
  <si>
    <t>NYP60-03-06 Konik-1</t>
  </si>
  <si>
    <t>NYP60-03-08 Konik-2</t>
  </si>
  <si>
    <t>NYP60-03-10 Konik-3</t>
  </si>
  <si>
    <t>NYP60-03-12 Konik-4</t>
  </si>
  <si>
    <t>NYP60-03-14 Konik-5</t>
  </si>
  <si>
    <t>NYP60-03-15 Konik-6</t>
  </si>
  <si>
    <t>NYP60-03-20 Ana Mil Kelepçesi (2 Parça)</t>
  </si>
  <si>
    <t>NYP60-03-21 Küspe Bıçağı (4 Adet)</t>
  </si>
  <si>
    <t>NYP60-02-07 Arka Kapak</t>
  </si>
  <si>
    <t>NYP60-02-01(BreviniSL35002/FE/20,4/S400CR1) Redüktör Adaptörü</t>
  </si>
  <si>
    <t>NYP60-02-01(Rossi R2E 710 F3Z / 20,45) Redüktör Adaptörü</t>
  </si>
  <si>
    <t>NYP60-02-02 Adaptör Kapağı</t>
  </si>
  <si>
    <t>NYP60-02-01(Rossi R2E 710 F3Z / 20,45) Redüktör Adaptörü/    NYP60-02-02 Adaptör Kapağı (Akuple)</t>
  </si>
  <si>
    <t>NYP60-02-06(Brevini) Mil Adaptörü</t>
  </si>
  <si>
    <t>NYP60-02-06(Rossi) Mil Adaptörü</t>
  </si>
  <si>
    <t>NYP60-01 Model Yağ Presi (Motor, Kasnak Koruma, Yedirici Hariç) (Küspe Kırıcı, ve Motor Redükör ve aksamı yok) (Redüktör Kasnak Hariç) Komple bitmiş olarak</t>
  </si>
  <si>
    <t>NYP60-01 Model Yağ Presi
(Motor, Kasnak Koruma Hariç) Yedirici Dahil,</t>
  </si>
  <si>
    <t>NYP60-01 Model Yağ Presi
(Motor, Kasnak Koruma, Yedirici Hariç) Redüktör ve Kasnak Yağsız</t>
  </si>
  <si>
    <t>NYP60-Pres Motoru 500 kw,
(Kasnak ve şasesi ile beraber)</t>
  </si>
  <si>
    <t>NYP60 Pres kafes hidrolik açma ünitesi (arabasıyla) 2 Parça
NYP60 Pres Hidrolik Ünite Bağlantı Hortumu 2 Adet
NYP60Pres Kafes açma pistonu 1 adet /
NYP60 Pres Kafes açma piston aparatı 1 adet/
NYT3500 Gözetleme Camı 9 Adet
NYT3500 Gözetleme Cam Contası 18 Adet
NYP60 Şaryo 3 adet
NYT3500 Baca Bağlantı Flanşı 2 Adet
NYT3500 20x8 Grafit Amyantlı Salmatra (25 Metre) 1 Adet</t>
  </si>
  <si>
    <t>NYP60 SPC4500 V kayış 18 adet /
NYP60 SPC4500 V kayış (Yedek) 18 adet
NYP60 Pres anahtarı 2 adet /
NYP60 Pres askı aparatı 1 adet /
NYP60 Kafes Pnömatik Somun sıkma makinası 1 adet /
NYP60 Kafes Pnömatik Somun AA70 lokması 1 adet /
NYP60 Mil sıkma hidrolik somunu 1 adet /
NYP60 Mil sıkma hidrolik pompası 1 adet /
NYP60 Hidrolik mil sıkma pompa hortumları 2 Adet
NYP60 Mil sıkma hidrolik pompa aparatı ve kolu 3 parça /
NYP60 Pres 500 kw Motor bağlantı klemensi 1 Adet/</t>
  </si>
  <si>
    <t>NYP60-01 Model Yağ Presi Gövde (Kaynaklı İmalat)</t>
  </si>
  <si>
    <t>NYP60-01 Model Yağ Presi
(Motor, Kasnak Koruma, Yedirici Hariç)</t>
  </si>
  <si>
    <t>NYP60-01 Model Yağ Pres Yediricisi</t>
  </si>
  <si>
    <t xml:space="preserve">NYP60 Pres Kasnak Koruması 1 adet
NYP60 Pres Kasnak Koruma Ayakları 2 Adet                     </t>
  </si>
  <si>
    <t>NYP60 Pres Soğutma ünitesi
(Hortumları ile beraber)</t>
  </si>
  <si>
    <t>NYP60 SPC4500 V kayış</t>
  </si>
  <si>
    <t>NYP60 SPC4500 V kayış (Yedek) 18 adet
NYP60 Pres anahtarı 2 adet
NYP60 Pres askı aparatı 1 adet
NYP60 Pres Kafes Civata+Somun (Yedek) 3 Takım
NYP60 Kafes Pnömatik Somun sıkma makinası 1 adet
NYP60 Kafes Pnömatik Somun AA70 lokması 1 adet
NYP60 Mil sıkma hidrolik somunu 1 adet
NYP60 Mil sıkma hidrolik pompası 1 adet
NYP60 Hidrolik mil sıkma pompa hortumları 2 Adet
NYP60 Mil sıkma hidrolik pompa aparatı ve kolu 3 parça
NYP60 Pres 500 kw Motor bağlantı klemensi 2 Adet
NYP60 Pres Mil askı aparatı kolu 2 Adet
NYP60 Boğaz kelepçsi 1 Adet
NYP60 Yedirici destek kelepçesi 1 Adet
NYP60 Şaryo 3 adet
NYP60 Yedirici Bağlantı Flanşı 2 Adet
NYT3500 Gözetleme Camı 9 Adet
NYT3500 Gözetleme Cam Contası 18 Adet
NYT3500 20x8 Grafit Amyantlı Salmatra (25 Mt) 1 Adet
NYT3500 Baca Bağlantı Flanş Contaları 18 Adet
NYT3500 Baca Bağlantı Parçası 1 Adet</t>
  </si>
  <si>
    <t>NYP60-01 Model Yağ Presi</t>
  </si>
  <si>
    <t xml:space="preserve">NYP60-01 Model Yağ Pres Yediricisi 
(2 Adet 5,5 kw Redüktör Akuple) </t>
  </si>
  <si>
    <t>NYP60F</t>
  </si>
  <si>
    <t>NYP60 Pres Kasnak Koruması 1 adet /                                                          Şaryo taşıma aparatı 1 adet</t>
  </si>
  <si>
    <t xml:space="preserve">NYP60 Pres Kasnak Koruması 1 adet /                                                      </t>
  </si>
  <si>
    <t>NYP60 Pres Kasnak Koruması 1 adet</t>
  </si>
  <si>
    <t>NYP60 Pres Ana Mili 1 adet
Main Shaft of Screew
NYP60 Pres Ana Mil Kaması 8 adet
NYP60 Pres Ana Mil Somunu 4 adet
Press with keys &amp; nut 1 pc./
Ocнoвoй вал винтoвoro npecca 1 шт./</t>
  </si>
  <si>
    <t>NYP60 Helezon No: 1-2-3-4-5-6-7 (Toplam 7 Adet)
Worm 1-2-3-4-5-6-7  - (7 pcs.)/
винт 1-2-3-4-5-6-7 -  (7 шт.)/                                                                 
NYP60 Kafes İçi Hilali (Sağ+Sol) 2 Parça,                                                               Medium Crescent 1 pc./                                                             Cpeдний лoлyмecяц 1 шт./
NYP60 Kafes Sonu Hilali (Sağ+Sol) 2 Parça,
End Crescent 1 pc./                                                             Koнeчньıй лoлyмecяц 1 шт./</t>
  </si>
  <si>
    <t>NYP60 Konik No: 1-2-3-4-5-6 (Toplam 6 Adet)
Collar 1-2-3-4-5-6 - (6 pcs.)/ 
oбoймa 1-2-3-4-5-6- -  (6 шт.)/                                                                 
NYP60 Boğaz Koniği Hilali (Sağ+Sol) 2 Parça,                                                                 Outlet Crescent 1 pc./                                                           вьınycкнoй лoлyмecяц 1 шт./</t>
  </si>
  <si>
    <t>NYP60 Pres 10x25 L300 mm Kafes Bıçakları 1320 adet,
Cage Bar L=300mm 1320 pcs./                                         Полepeчнaя плacтинa L=300mm 1320 шт./
NYP60 Pres 10x25 L200 mm Kafes Bıçakları 132 adet,
Cage Bar L=200mm 132 pcs./                                         Полepeчнaя плacтинa L=200mm 132 шт./                                  
NYP60 Pres Sıyırgı Bıçakları 44 adet, 
Braker 44 pcs./                                                                      Topмoз 44 шт./</t>
  </si>
  <si>
    <t>OR 008-2019
Titech</t>
  </si>
  <si>
    <t>FRP05</t>
  </si>
  <si>
    <t>FRP05 Model Yağ Presi Talaşlı imalat sonrası Gövde</t>
  </si>
  <si>
    <t>FRP05-02-06 Mil Adaptörü</t>
  </si>
  <si>
    <t>FRP05 Pres Kasnak Koruması 1 adet</t>
  </si>
  <si>
    <t>FRP05 Model Yağ Presi 
(Motor, Kasnak Koruma, Hariç. Yedirici Dahil)</t>
  </si>
  <si>
    <t>Dönel Vana (Ø3000 Desolventizer - Toaster- Cooler)
(Demounted for transportation)</t>
  </si>
  <si>
    <t>Dönel Vana (Desolventizer Toster Ø3000-Ø3500)
(Demounted for transportation)</t>
  </si>
  <si>
    <t>FRP05 Pres Motoru 45 KW 1500 d/d IE3
(Kasnak, Şase Dahil)</t>
  </si>
  <si>
    <t>FRP05 SPC 2700 V kayış 3 Adet
FRP05 SPC 2700 V kayış (Yedek) 3 Adet
FRP05 Pres Analog Elektrik Kontrol Paneli 1 Adet
FRP05 Pres Anahtarı 2 Adet
FRP05 Pres Mil Askı Apatı 1 Adet
FRP05 Mil sıkma hidrolik somunu 1 Adet
FRP05 Mil sıkma hidrolik pompası 1 Adet
FRP05 Mil sıkma hidrolik pompası hortumu 1 Adet
FRP05 Mil sıkma hidrolik pompa aparatı ve kolu 3 Parça
FRP05 Şaryo 1 Adet
FRP05 Kafes Pnömatik Somun sıkma makinası 1 adet
FRP05 Kafes Pnömatik Somun AA60 lokması 1 adet
FRP05 Pres Kafes hidrolik açma ünitesi(arabasıyla) 2 Parça
FRP05 Pres Kafes hidrolik açma ünite hortumu 2 Adet
FRP05 Pres Kafes açma pistonu 1 Adet
FRP05 Pres Kafes açma piston aparatı 1 Adet
FRP05 Teknik Döküman 1 Adet</t>
  </si>
  <si>
    <t>FRP05 Şase</t>
  </si>
  <si>
    <t>HUM-FS613 Flaker</t>
  </si>
  <si>
    <t>FS613 Vals Kaldırma Aparatı</t>
  </si>
  <si>
    <t>Vals Hidrolik Ünitesi 1 Adet
Hidrolik yağ hortumları 2 Adet
EPDM Titreşim önleyici plaka 22 Adet
Vals anahtarı 3 adet
Numune Alma Aparatı 1 Adet
Vals Topu Sıyırıcı Bıçaklar 2 Adet</t>
  </si>
  <si>
    <t xml:space="preserve">OR 019-2019
Grodno Agro </t>
  </si>
  <si>
    <t>Condensate Collecting Tank</t>
  </si>
  <si>
    <t>30 F 01</t>
  </si>
  <si>
    <t>Buffer Bin App</t>
  </si>
  <si>
    <t>Cyclone for Flaking Aspiration</t>
  </si>
  <si>
    <t>30 D 18.2</t>
  </si>
  <si>
    <t>Cyclone for Pressing Aspiration</t>
  </si>
  <si>
    <t>30 G 15</t>
  </si>
  <si>
    <t>HUM HCCL 100 Cake Cooler (Subgroup)
(Demounted for transportation)</t>
  </si>
  <si>
    <t>pc</t>
  </si>
  <si>
    <t>HUM HCCL 100 Cake Cooler (Top Group)
(Demounted for transportation)</t>
  </si>
  <si>
    <t>Hydraulic Unit for HUM HCCL 100 Cake Cooler
(Demounted for transportation)</t>
  </si>
  <si>
    <t>HUM-KS 100 Cake Breaker</t>
  </si>
  <si>
    <t>30 E 13</t>
  </si>
  <si>
    <t>Oil Cooler</t>
  </si>
  <si>
    <t>Semer</t>
  </si>
  <si>
    <t>30 F 11.1</t>
  </si>
  <si>
    <t>Oil Mixing Tank Before Filtering 4 kw</t>
  </si>
  <si>
    <t>Discharge Airlock for Flaking Aspiration 0,75 kw</t>
  </si>
  <si>
    <t>30 G 20.2</t>
  </si>
  <si>
    <t>Discharge Airlock for Pressing Aspiration 0,75 kw</t>
  </si>
  <si>
    <t>30 G 20.3</t>
  </si>
  <si>
    <t>Discharge Airlock for Cake Cooling Aspiration 0,75 kw</t>
  </si>
  <si>
    <t>30 D 18.3</t>
  </si>
  <si>
    <t>Cyclone for Cake Cooling Aspiration</t>
  </si>
  <si>
    <t>HUM-HFSP050 Oil-Foots Separator (Screening Tank)</t>
  </si>
  <si>
    <t>30 F 11.2</t>
  </si>
  <si>
    <t>Filtered Oil Tank</t>
  </si>
  <si>
    <t>30 E 04.2</t>
  </si>
  <si>
    <t>HUM NYT 30-7 Cooker for Pre-pressing</t>
  </si>
  <si>
    <t>HUM NYT 30-7 Cooker Lifting Apparatus
(Disassembled into parts for transportation purposes)</t>
  </si>
  <si>
    <t>HUM NYT 30-7 Dehumidifier Chimney
(Disassembled into parts for transportation purposes)</t>
  </si>
  <si>
    <t>pc.</t>
  </si>
  <si>
    <t>30 E 04.1</t>
  </si>
  <si>
    <t>HUM NYT22-5 Conditioner for Flaking
(Includind 22 kw Main Gear Box)</t>
  </si>
  <si>
    <t>HUM NYT22-5 Conditioner Lifting Apparatus
(Disassembled into parts for transportation purposes)</t>
  </si>
  <si>
    <t>HUM NYT22-5 Dehumidifier Chimney
(Disassembled into parts for transportation purposes)</t>
  </si>
  <si>
    <r>
      <rPr>
        <b/>
        <sz val="8"/>
        <rFont val="Arial"/>
        <family val="2"/>
        <charset val="162"/>
      </rPr>
      <t xml:space="preserve">Mounting materials and parts for NYT 22-5 Conditioner (disassembled into parts for transportation purposes)
</t>
    </r>
    <r>
      <rPr>
        <sz val="8"/>
        <rFont val="Arial"/>
        <family val="2"/>
        <charset val="162"/>
      </rPr>
      <t>Spare Tire + Pin 10 Set
Ø202x15 mm Sight glass 5 pcs
2xØ202xØ183 mm Sight glass gasket 10 pcs
2x221x259 mm Gasket for NYT30-7 Dehumidifier Chimney 5 pcs
Bolt + Nut for NYT 30-7 Dehumidifier Chimney 30 Set
20x8 Graphite Shaft Seal (for Conditioner Manhole) (11,5 Meters) 1 pc
Ø100x100 Magnetic Padded Cylinder 4 pcs
Ø80x100 Fork Connection 4 pcs
Ø100 Joint Location Connection 4 pcs
1/4, 5/2 Coil-Coil Pneumatic Valve 4 pcs
Sensors 8 pcs
1/4"-8 Elbow Speed ​​Adjustment 8 pcs
1/4"-8 Pneumatic Straight Union 4 pcs
1/4" Long Silencer 8 pcs
1/2"-8 Pneumatic Elbow 8 pcs
8x5,5 Blue Polyurethane Hose (6 Meters) 1 pc</t>
    </r>
  </si>
  <si>
    <t>pcs</t>
  </si>
  <si>
    <t>HUM 
NYT 30-7</t>
  </si>
  <si>
    <t>HUM 
NYT22-5</t>
  </si>
  <si>
    <t xml:space="preserve">FS610-02-08 (bağlantı mili)  </t>
  </si>
  <si>
    <t>FS610-02-09 (bağlantı mili kilidi)</t>
  </si>
  <si>
    <t>OR 029-2019 Almex</t>
  </si>
  <si>
    <t>FS610-02-03 (hareketli yatak)   Malzeme= S355JR (St-52)</t>
  </si>
  <si>
    <t>VALS
FS610</t>
  </si>
  <si>
    <t>FS610-02-04 (sabit yatak)  Malzeme= S355JR (St-52)</t>
  </si>
  <si>
    <t>FS610-02-05 (boşluksuz kapak) Malzeme= S355JR (St-52)</t>
  </si>
  <si>
    <t>FS610-02-06 (boşluklu kapak) Malzeme= S355JR (St-52)</t>
  </si>
  <si>
    <t>FS610-02-07 (arka kapak) Malzeme= S355JR (St-52)</t>
  </si>
  <si>
    <t>FS610-01-01 Vals Gövdesi (mi) (Talaşlı imalat Sonrası)</t>
  </si>
  <si>
    <t>FS610-04-01 Vals Yedirici Gövdesi (mi) (Talaşlı imalat Sonrası)</t>
  </si>
  <si>
    <t>FS610-01-01 Hidrolik Silindir Bağlantı Parçası ( 2 Ad. Toplamı)</t>
  </si>
  <si>
    <t>30 G 05.1</t>
  </si>
  <si>
    <t>NYP30 Screw Press for single (Final) Pressing
(Motor, Kasnak Koruma, Hariç) (Yedirici, Küspe Kırıcı Dahil)</t>
  </si>
  <si>
    <t>NYP30 Pres Motoru 250 KW 1500 d/d IE3
(Kasnak Dahil) (Şasesi ile beraber)</t>
  </si>
  <si>
    <t>NYP30 Pres Kasnak Koruması 1 adet</t>
  </si>
  <si>
    <t>Soğutma Ünitesi 1 Adet
Soğutma Ünitesi Hortumu 2 Adet</t>
  </si>
  <si>
    <t>30 G 05.2</t>
  </si>
  <si>
    <t>NYP30F Screw Press for single (Fınal) Pressing
(Motor, Kasnak Koruma, Hariç) /Yedirici Dahil)</t>
  </si>
  <si>
    <t>NYP30F Pres Motoru 200 KW 1500 d/d IE3
(Kasnak Dahil) (Şasesi ile beraber)</t>
  </si>
  <si>
    <t>NYP30F</t>
  </si>
  <si>
    <t>30 E 04.2.1</t>
  </si>
  <si>
    <r>
      <rPr>
        <b/>
        <sz val="10"/>
        <rFont val="Arial"/>
        <family val="2"/>
        <charset val="162"/>
      </rPr>
      <t xml:space="preserve">HUM NYT 30-7 Tava Ana Dişli Kutusu </t>
    </r>
    <r>
      <rPr>
        <sz val="10"/>
        <rFont val="Arial"/>
        <family val="2"/>
        <charset val="162"/>
      </rPr>
      <t xml:space="preserve">
Tava redüktör Şasesi 1 Adet
Redüktör 1 adet
Tava redüktör Şasesi 1 Adet
Ana Motor 45 KW 1 adet
Yardımcı Tahrik Motoru 5.5 Kw 1 Adet
KRG15 Hidrolik Kaplin 1 adet
DYHK-500 Elastik Kaplin HUM NYT 30-7 - (1/1) 1 Adet</t>
    </r>
  </si>
  <si>
    <t>NYT 30-7</t>
  </si>
  <si>
    <t>30 G 05.1
30 G 05.2</t>
  </si>
  <si>
    <t>Vals Köşe Taşlama</t>
  </si>
  <si>
    <t>Çıplak Ölçüler</t>
  </si>
  <si>
    <r>
      <rPr>
        <b/>
        <sz val="10"/>
        <rFont val="Arial"/>
        <family val="2"/>
        <charset val="162"/>
      </rPr>
      <t>NYP30F Hidrolik Mil Çektirme</t>
    </r>
    <r>
      <rPr>
        <sz val="10"/>
        <rFont val="Arial"/>
        <family val="2"/>
        <charset val="162"/>
      </rPr>
      <t xml:space="preserve">
Support for shaft pulling system 2 pc
Trolley for shaft pulling system 1 pc
Support Arms for shaft pulling system 1 pc
Cylinder for shaft pulling system 1 pc</t>
    </r>
  </si>
  <si>
    <t>NYP15 Model Yağ Pres Gövdesi (Kaynaklı İmalat)
(Gerilim Giderme Yapılmış, Talaşlı İmalat Öncesi)</t>
  </si>
  <si>
    <t>OR 034-2019
Mill Pack</t>
  </si>
  <si>
    <t>TM Makine</t>
  </si>
  <si>
    <t>FS816-01-01 Valsi Gövde (İŞLENMİŞ)</t>
  </si>
  <si>
    <t>FS816-04-01 Valsi Yedirici (İŞLENMİŞ)</t>
  </si>
  <si>
    <t>OR 020.2020
Maysan</t>
  </si>
  <si>
    <t>NYT 22-5</t>
  </si>
  <si>
    <t>OR 031-2019
Argo Kom</t>
  </si>
  <si>
    <t>Lifting Apparatus for Soybean Stack Type Heater</t>
  </si>
  <si>
    <t>Dehumidifier Chimney for Soybean Stack Type Heater</t>
  </si>
  <si>
    <t>NYT2200-5 Soybean Stack Type Heater ( Cooker)</t>
  </si>
  <si>
    <r>
      <rPr>
        <b/>
        <sz val="10"/>
        <rFont val="Arial"/>
        <family val="2"/>
        <charset val="162"/>
      </rPr>
      <t>Sliding Bucket Extractor Assembled of;</t>
    </r>
    <r>
      <rPr>
        <sz val="10"/>
        <rFont val="Arial"/>
        <family val="2"/>
        <charset val="162"/>
      </rPr>
      <t xml:space="preserve">
  40 D 201.1  Extractor housing
  40 D 201.4-1 Endless belt chain rollers and sprockets
  40 D 201.5  Wire screen plates
  40 D 201.8  The Sliding rail and chain tensioning device
  40 D 201.9  Proximity switches for safety of chain
                    tensioning device</t>
    </r>
  </si>
  <si>
    <t xml:space="preserve">Extractor lifting apparatus </t>
  </si>
  <si>
    <t>OR 036-2020
Mod Yapı</t>
  </si>
  <si>
    <t>Raylar Toplam</t>
  </si>
  <si>
    <t>Profiller Yaklaşık</t>
  </si>
  <si>
    <t>Siyah Gözlem Flanşları 40 Adet Yaklaşık</t>
  </si>
  <si>
    <t>30247-01 (Ana mil-1) Yaklaşık</t>
  </si>
  <si>
    <t>30247-02 (Ana mil-1) Yaklaşık</t>
  </si>
  <si>
    <t>Dişli Çarklar 4 Adet Yaklaşık</t>
  </si>
  <si>
    <t>Mil ve Çarklar Takılı Halde</t>
  </si>
  <si>
    <t>NYP45</t>
  </si>
  <si>
    <t>OR 001-2021
AW Group</t>
  </si>
  <si>
    <t>NYP45-01 YAĞ PRES MAKİNASI GÖVDESİ işlenmiş</t>
  </si>
  <si>
    <t>T&amp;M Tartım</t>
  </si>
  <si>
    <t>30 G 05.1
(1.18.1)</t>
  </si>
  <si>
    <t>Screw press for single (final) pressing (NYP45F) (75 tpd)</t>
  </si>
  <si>
    <t>NYP45F</t>
  </si>
  <si>
    <t>OR 028-2019
GGC Gambia</t>
  </si>
  <si>
    <t>Feeder (5,5 Kw, 4 kw Reductor 2 pc) for NYP45F Screw Press
(Disassembled into parts for transportation purposes)</t>
  </si>
  <si>
    <t>Main Motor 250 kw for NYP45F Screw Press
(Disassembled into parts for transportation purposes)</t>
  </si>
  <si>
    <t>Pulley guard and Carriage apparatus for NYP45F Screw Press
(Disassembled into parts for transportation purposes)</t>
  </si>
  <si>
    <t>30 G 05.1-2-3-4
(1.18.1-2-3-4)</t>
  </si>
  <si>
    <t xml:space="preserve">30 G 05.1-2-3-4
(1.18.1-2-3-4)
20 G 02.1-2
(1.7.1-2)
(2.15)
</t>
  </si>
  <si>
    <t>HUM</t>
  </si>
  <si>
    <t>KIRMA
KD313</t>
  </si>
  <si>
    <t>NYP60F Model Yağ Presi (Küspe Kırıcılı)</t>
  </si>
  <si>
    <t>KIRMA
KD416</t>
  </si>
  <si>
    <t>KD416-04-01 Çifli Kırma Makinası Gövdesi (işlenmiş)</t>
  </si>
  <si>
    <t>KD313 ÇİFTLİ KIRMA MAKİNASI GÖVDESİ (işlenmiş)</t>
  </si>
  <si>
    <t>KD313 ÇİFTLİ KIRMA MAKİNASI YEDİRİCİ GÖVDESİ (işlenmiş)</t>
  </si>
  <si>
    <t>09.08.2021 
VRI2021000000131 Fatura</t>
  </si>
  <si>
    <t>KD416-04-01 Çifli Kırma Makinası Yedirici Gövdesi (işlenmiş)</t>
  </si>
  <si>
    <t>OR035-2020
Altyn Shyghys</t>
  </si>
  <si>
    <t>NYP-60 Pre-Screw Press(Kek Kırıcı Dahil, Yedirici Hariç)</t>
  </si>
  <si>
    <t>Main Motor 500 kw for NYP-60 Pre-Screw Press</t>
  </si>
  <si>
    <t>30 G 05.1-2</t>
  </si>
  <si>
    <t>Feeder (5,5 Kw Reductor 2 pc) for NYP-60 Pre-Screw Press
(Disassembled into parts for transportation purposes)</t>
  </si>
  <si>
    <r>
      <rPr>
        <b/>
        <sz val="8"/>
        <rFont val="Arial"/>
        <family val="2"/>
        <charset val="162"/>
      </rPr>
      <t>Hydraulic unit for NYP-60 Pre-Screw</t>
    </r>
    <r>
      <rPr>
        <sz val="8"/>
        <rFont val="Arial"/>
        <family val="2"/>
        <charset val="162"/>
      </rPr>
      <t xml:space="preserve">
Trolley 1 pc
Cage hydraulic opening unit 1 pc
Hydraulic Unit connection hose 2 pcs.
Cage opening piston  1 pc. 
Cage opening piston apparatus  1 pc
(Disassembled into parts for transportation purposes)</t>
    </r>
  </si>
  <si>
    <t>Cooling unit (including, hoses) for  NYP60 Pre-Screw Press</t>
  </si>
  <si>
    <t>Pulley guard and Carriage apparatus for NYP-60 Pre-Screw Press
(Disassembled into parts for transportation purposes)</t>
  </si>
  <si>
    <t>Ağırlık 2 Motorda Farklı Çıktı</t>
  </si>
  <si>
    <r>
      <rPr>
        <b/>
        <sz val="8"/>
        <rFont val="Arial"/>
        <family val="2"/>
        <charset val="162"/>
      </rPr>
      <t>NYP-60 Pre-Screw Press Instruments</t>
    </r>
    <r>
      <rPr>
        <sz val="8"/>
        <rFont val="Arial"/>
        <family val="2"/>
        <charset val="162"/>
      </rPr>
      <t xml:space="preserve">
32x20x4500 mm V Belt  22 pcs.
Shaft tightening hydraulic nut 1 pc.
Shaft tightening hydraulic pump apparatus and arm  2 parts
Shaft tightening hydraulic pump 1 pc.
Wrench 2 pcs.
Carriage 2 pcs.
Feeder Mounting clamp  2 pc
Cage Pneumatic Nut tightening machine 1 pc.
Cage Pneumatic Nut AA70 wrench 1 pc.
Electrical Junction Box 2 pc
M16x35 Imbus Bolt, NYP60 Press Cage, for scraper bars (Spare) 240 pcs
(SPACERS) 1 mm: 800 pcs, 0,80 mm 800 pcs,  0,70 mm 800 pcs,  0,60 mm 2400 pcs,  0,50 mm 1600 pcs,  0,40 mm 1600 pcs,  0,30 mm 800 pcs
(Disassembled into parts for transportation purposes)</t>
    </r>
  </si>
  <si>
    <t>Feeder (5,5 Kw, 4 kw Reductor 2 pc) for NYP45 Screw Press
(Disassembled into parts for transportation purposes)</t>
  </si>
  <si>
    <t>Main Motor 355 kw for NYP45 Screw Press
(Disassembled into parts for transportation purposes)</t>
  </si>
  <si>
    <t>Pulley guard and Carriage apparatus for NYP45 Screw Press
(Disassembled into parts for transportation purposes)</t>
  </si>
  <si>
    <t>HUM-NYP45 Model Screw Press for Pre-Pressing
Kek kırıcı Dahil</t>
  </si>
  <si>
    <r>
      <rPr>
        <b/>
        <sz val="8"/>
        <rFont val="Arial"/>
        <family val="2"/>
        <charset val="162"/>
      </rPr>
      <t>Hydraulic unit for NYP45F Screw Press</t>
    </r>
    <r>
      <rPr>
        <sz val="8"/>
        <rFont val="Arial"/>
        <family val="2"/>
        <charset val="162"/>
      </rPr>
      <t xml:space="preserve">
Trolley 1 pc
Cage hydraulic opening unit 1 pc
Hydraulic Unit connection hose 2 pcs.
Cage opening piston  1 pc. 
Cage opening piston apparatus  1 pc
(Disassembled into parts for transportation purposes)</t>
    </r>
  </si>
  <si>
    <r>
      <rPr>
        <b/>
        <sz val="8"/>
        <rFont val="Arial"/>
        <family val="2"/>
        <charset val="162"/>
      </rPr>
      <t>ITEM: 30 G 05.1-2-3-4 (1.18.1-2-3-4)</t>
    </r>
    <r>
      <rPr>
        <sz val="8"/>
        <rFont val="Arial"/>
        <family val="2"/>
        <charset val="162"/>
      </rPr>
      <t xml:space="preserve">
SPD 3700 V Belt  for  NYP45F Screw Press 12 pcs.
Shaft tightening hydraulic nut for  NYP45F Screw Press 1 pc.
Shaft tightening hydraulic pump apparatus and arm for  NYP45F Screw Press 2 parts
Shaft tightening hydraulic pump for  NYP45F Screw Press 1 pc.
Wrench for  NYP45F Screw Press 8 pcs.
Suspension apparatus for  NYP45F Screw Press 4 pc.
Carriage for  NYP45F Screw Press 4 pcs.
Feeder Mounting clamp for  NYP45F Screw Press 4 pc
Cage Pneumatic Nut tightening machine for  NYP45F Screw Press 1 pc.
Cage Pneumatic Nut AA70 wrench for  NYP45F Screw Press 1 pc.
</t>
    </r>
    <r>
      <rPr>
        <b/>
        <sz val="8"/>
        <rFont val="Arial"/>
        <family val="2"/>
        <charset val="162"/>
      </rPr>
      <t xml:space="preserve">ITEM: 20 G 02.1-2 (1.7.1-2) </t>
    </r>
    <r>
      <rPr>
        <sz val="8"/>
        <rFont val="Arial"/>
        <family val="2"/>
        <charset val="162"/>
      </rPr>
      <t xml:space="preserve">
Anti-vibration plate for Crusher (KS 300X1300) - 20 pcs
Wrench for Crusher (KS 300X1300) - 3 pc
Sampling Apparatus for Crusher (KS 300X1300) 1 pc
</t>
    </r>
    <r>
      <rPr>
        <b/>
        <sz val="8"/>
        <rFont val="Arial"/>
        <family val="2"/>
        <charset val="162"/>
      </rPr>
      <t>ITEM: 2.15</t>
    </r>
    <r>
      <rPr>
        <sz val="8"/>
        <rFont val="Arial"/>
        <family val="2"/>
        <charset val="162"/>
      </rPr>
      <t xml:space="preserve">
DN20 Orifice Plates 4 pcs
DN50 Orifice Plates 1 pcs
TN-00 Installation Thermometer Nozzle - 10 pcs
(Disassembled into parts for transportation purposes)</t>
    </r>
  </si>
  <si>
    <r>
      <rPr>
        <b/>
        <sz val="8"/>
        <rFont val="Arial"/>
        <family val="2"/>
        <charset val="162"/>
      </rPr>
      <t>Hydraulic unit for for NYP45 Screw Press</t>
    </r>
    <r>
      <rPr>
        <sz val="8"/>
        <rFont val="Arial"/>
        <family val="2"/>
        <charset val="162"/>
      </rPr>
      <t xml:space="preserve">
Trolley 1 pc
Cage hydraulic opening unit 1 pc
Hydraulic Unit connection hose 2 pcs.
Cage opening piston  1 pc. 
Cage opening piston apparatus  1 pc</t>
    </r>
  </si>
  <si>
    <r>
      <rPr>
        <b/>
        <sz val="8"/>
        <rFont val="Arial"/>
        <family val="2"/>
        <charset val="162"/>
      </rPr>
      <t>ITEM: 30 G 05</t>
    </r>
    <r>
      <rPr>
        <sz val="8"/>
        <rFont val="Arial"/>
        <family val="2"/>
        <charset val="162"/>
      </rPr>
      <t xml:space="preserve">
SPD 3500 V Belt  for  NYP45 Screw Press 8 pcs.
Cooling unit for  NYP45 Screw Press 1 pcs
Cooling Unit Hose for  NYP45 Screw Press 2 Pcs
Shaft tightening hydraulic nut for  NYP45 Screw Press 1 pc.
Shaft tightening hydraulic pump apparatus and arm for  NYP45 Screw Press 2 parts
Shaft tightening hydraulic pump for  NYP45 Screw Press 1 pc.
Wrench for  NYP45 Screw Press 2 pcs.
Suspension apparatus for  NYP45 Screw Press 1 pc.
Carriage for  NYP45 Screw Press 2 pcs.
Feeder Mounting clamp for  NYP45 Screw Press 1 pc
Cage Pneumatic Nut tightening machine for  NYP45 Screw Press 1 pc.
Cage Pneumatic Nut AA70 wrench for  NYP45 Screw Press 1 pc.
Electric Control Panel for NYP45 Screw Press 1 pc
M16x35 Imbus Bolt, NYP45 Press Cage, for scraper bars (Spare) 106 pcs
Technical Document 1 Set
(Disassembled into parts for transportation purposes)</t>
    </r>
  </si>
  <si>
    <t>13.08.2021 
VRI2021000000131 Fatura</t>
  </si>
  <si>
    <t>KD416 Model Kırma Makinası</t>
  </si>
  <si>
    <t>Lifting Apparatus for Desolventizing Toaster Dryer Cooler (DTDC)</t>
  </si>
  <si>
    <t>LoadCell</t>
  </si>
  <si>
    <t>OR 007-2022</t>
  </si>
  <si>
    <r>
      <t>Desolventizing Toaster Dryer Cooler (DTDC)
(</t>
    </r>
    <r>
      <rPr>
        <sz val="10"/>
        <rFont val="Arial Tur"/>
        <charset val="162"/>
      </rPr>
      <t>Ø</t>
    </r>
    <r>
      <rPr>
        <sz val="10"/>
        <rFont val="Arial"/>
        <family val="2"/>
        <charset val="162"/>
      </rPr>
      <t>3500 mmx5 stages)</t>
    </r>
    <r>
      <rPr>
        <b/>
        <sz val="10"/>
        <color indexed="10"/>
        <rFont val="Arial"/>
        <family val="2"/>
        <charset val="162"/>
      </rPr>
      <t xml:space="preserve"> (1 Adet Rotary ve Semerler Dahil)</t>
    </r>
  </si>
  <si>
    <r>
      <rPr>
        <b/>
        <sz val="10"/>
        <rFont val="Arial"/>
        <family val="2"/>
        <charset val="162"/>
      </rPr>
      <t>40 D 201</t>
    </r>
    <r>
      <rPr>
        <sz val="10"/>
        <rFont val="Arial"/>
        <family val="2"/>
        <charset val="162"/>
      </rPr>
      <t xml:space="preserve">
40 D 201.1
40 D 201.5
40 D 201.7
40 D 201.8</t>
    </r>
  </si>
  <si>
    <r>
      <rPr>
        <b/>
        <sz val="10"/>
        <rFont val="Arial"/>
        <family val="2"/>
        <charset val="162"/>
      </rPr>
      <t>40 D 201 Sliding Bucket Extractor</t>
    </r>
    <r>
      <rPr>
        <sz val="10"/>
        <rFont val="Arial"/>
        <family val="2"/>
        <charset val="162"/>
      </rPr>
      <t xml:space="preserve">
40D201.1 The extractor housing of gas-tight welded steel plate construction 
40D201.5 The upper and lower stationary wedge-wire screen plates
40D201.7 mounting parts such as shafts, bearings, oil seals,  gaskets, slide rails, couplings
40D201.8 The sliding rail and chain tensioning device</t>
    </r>
  </si>
  <si>
    <t>2 Adet Kapak 270 kg/Adet</t>
  </si>
  <si>
    <t>Elekler Dahil 2 kapak hariç Kg</t>
  </si>
  <si>
    <t>Diğer Eklenenler Kg</t>
  </si>
  <si>
    <t>OR 011-2022 ZAR Britone C22-3476</t>
  </si>
  <si>
    <t>ZAR Britona 
OR 011-2022
C22-3476</t>
  </si>
  <si>
    <t>Truck-3</t>
  </si>
  <si>
    <t>The buckets fixed on an endless chain (600/1200/1800mm)
(25 mm Side Sheet)</t>
  </si>
  <si>
    <t>Kenar saclarına göre 44 adet kova 25 mm ve 45 adet kova 10 mm 7 adet kontplak 14 kg/Adet</t>
  </si>
  <si>
    <t>Truck-4</t>
  </si>
  <si>
    <t>The buckets fixed on an endless chain (600/1200/1800mm)
(25 mm Side Sheet 12 pcs:320,00 Kg/Piece)
(10 mm Side Sheet 20 pcs:300,00 Kg/Piece)</t>
  </si>
  <si>
    <t>Truck-5</t>
  </si>
  <si>
    <t>The buckets fixed on an endless chain (600/1200/1800mm)
(10 mm Side Sheet 25 pcs:300,00 Kg/Piece)</t>
  </si>
  <si>
    <t>5 Adet Kontplak 14 kg/Adet</t>
  </si>
  <si>
    <t>7 Adet Kontplak 14 kg/Adet</t>
  </si>
  <si>
    <t>OR 003-2012</t>
  </si>
  <si>
    <t>BOY</t>
  </si>
  <si>
    <t xml:space="preserve">EN </t>
  </si>
  <si>
    <t>YÜKSEKLİK</t>
  </si>
  <si>
    <t>X</t>
  </si>
  <si>
    <t>EN</t>
  </si>
  <si>
    <t xml:space="preserve">YÜKSEKLİK </t>
  </si>
  <si>
    <t xml:space="preserve">BOY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</si>
</sst>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0.000"/>
  </numFmts>
  <fonts count="42" x14ac:knownFonts="1">
    <font>
      <sz val="10"/>
      <name val="Arial Tur"/>
      <charset val="162"/>
    </font>
    <font>
      <sz val="10"/>
      <name val="Arial Tur"/>
      <charset val="162"/>
    </font>
    <font>
      <b/>
      <sz val="11"/>
      <color indexed="8"/>
      <name val="Arial"/>
      <family val="2"/>
      <charset val="162"/>
    </font>
    <font>
      <sz val="11"/>
      <color indexed="8"/>
      <name val="Arial"/>
      <family val="2"/>
      <charset val="162"/>
    </font>
    <font>
      <b/>
      <sz val="11"/>
      <name val="Arial"/>
      <family val="2"/>
      <charset val="162"/>
    </font>
    <font>
      <u/>
      <sz val="11"/>
      <name val="Arial"/>
      <family val="2"/>
      <charset val="162"/>
    </font>
    <font>
      <sz val="11"/>
      <name val="Arial"/>
      <family val="2"/>
      <charset val="162"/>
    </font>
    <font>
      <sz val="8"/>
      <name val="Arial Tur"/>
      <charset val="162"/>
    </font>
    <font>
      <sz val="11"/>
      <name val="Arial Tur"/>
      <charset val="162"/>
    </font>
    <font>
      <sz val="10"/>
      <color indexed="8"/>
      <name val="Arial Narrow"/>
      <family val="2"/>
      <charset val="162"/>
    </font>
    <font>
      <sz val="10"/>
      <name val="Arial Tur"/>
      <charset val="162"/>
    </font>
    <font>
      <sz val="10"/>
      <name val="Arial Narrow"/>
      <family val="2"/>
      <charset val="162"/>
    </font>
    <font>
      <sz val="12"/>
      <name val="Times New Roman"/>
      <family val="1"/>
      <charset val="162"/>
    </font>
    <font>
      <sz val="10"/>
      <name val="Arial"/>
      <family val="2"/>
      <charset val="162"/>
    </font>
    <font>
      <b/>
      <sz val="10"/>
      <color indexed="8"/>
      <name val="Arial"/>
      <family val="2"/>
      <charset val="162"/>
    </font>
    <font>
      <b/>
      <sz val="10"/>
      <name val="Arial Tur"/>
      <charset val="162"/>
    </font>
    <font>
      <b/>
      <sz val="10"/>
      <name val="Arial"/>
      <family val="2"/>
      <charset val="162"/>
    </font>
    <font>
      <sz val="10"/>
      <color indexed="8"/>
      <name val="Arial"/>
      <family val="2"/>
      <charset val="162"/>
    </font>
    <font>
      <sz val="9"/>
      <color indexed="81"/>
      <name val="Tahoma"/>
      <family val="2"/>
      <charset val="162"/>
    </font>
    <font>
      <b/>
      <sz val="9"/>
      <color indexed="81"/>
      <name val="Tahoma"/>
      <family val="2"/>
      <charset val="162"/>
    </font>
    <font>
      <sz val="8"/>
      <name val="Arial"/>
      <family val="2"/>
      <charset val="162"/>
    </font>
    <font>
      <sz val="10"/>
      <color indexed="10"/>
      <name val="Arial"/>
      <family val="2"/>
      <charset val="162"/>
    </font>
    <font>
      <sz val="9"/>
      <name val="Arial"/>
      <family val="2"/>
      <charset val="162"/>
    </font>
    <font>
      <sz val="11"/>
      <color indexed="10"/>
      <name val="Arial"/>
      <family val="2"/>
      <charset val="162"/>
    </font>
    <font>
      <b/>
      <sz val="10"/>
      <color indexed="10"/>
      <name val="Arial"/>
      <family val="2"/>
      <charset val="162"/>
    </font>
    <font>
      <sz val="7"/>
      <name val="Arial"/>
      <family val="2"/>
      <charset val="162"/>
    </font>
    <font>
      <sz val="7"/>
      <name val="Arial Tur"/>
      <charset val="162"/>
    </font>
    <font>
      <sz val="9"/>
      <color indexed="8"/>
      <name val="Arial"/>
      <family val="2"/>
      <charset val="162"/>
    </font>
    <font>
      <sz val="9"/>
      <name val="Arial Tur"/>
      <charset val="162"/>
    </font>
    <font>
      <sz val="9"/>
      <color indexed="30"/>
      <name val="Arial"/>
      <family val="2"/>
      <charset val="162"/>
    </font>
    <font>
      <sz val="8"/>
      <name val="Arial Narrow"/>
      <family val="2"/>
      <charset val="162"/>
    </font>
    <font>
      <sz val="8"/>
      <name val="Calibri"/>
      <family val="2"/>
      <charset val="162"/>
    </font>
    <font>
      <sz val="8"/>
      <color indexed="8"/>
      <name val="Arial Narrow"/>
      <family val="2"/>
      <charset val="162"/>
    </font>
    <font>
      <b/>
      <sz val="8"/>
      <name val="Arial"/>
      <family val="2"/>
      <charset val="162"/>
    </font>
    <font>
      <sz val="10"/>
      <color indexed="10"/>
      <name val="Arial Tur"/>
      <charset val="162"/>
    </font>
    <font>
      <sz val="11"/>
      <color theme="1"/>
      <name val="Calibri"/>
      <family val="2"/>
      <charset val="162"/>
      <scheme val="minor"/>
    </font>
    <font>
      <sz val="10"/>
      <color theme="1"/>
      <name val="Arial"/>
      <family val="2"/>
      <charset val="162"/>
    </font>
    <font>
      <sz val="10"/>
      <color rgb="FF000000"/>
      <name val="Arial Narrow"/>
      <family val="2"/>
      <charset val="162"/>
    </font>
    <font>
      <sz val="10"/>
      <color rgb="FF000000"/>
      <name val="Arial"/>
      <family val="2"/>
      <charset val="162"/>
    </font>
    <font>
      <sz val="10"/>
      <color rgb="FFFF0000"/>
      <name val="Arial"/>
      <family val="2"/>
      <charset val="162"/>
    </font>
    <font>
      <sz val="8"/>
      <color rgb="FFFF0000"/>
      <name val="Arial"/>
      <family val="2"/>
      <charset val="162"/>
    </font>
    <font>
      <sz val="8"/>
      <color rgb="FF000000"/>
      <name val="Arial"/>
      <family val="2"/>
      <charset val="162"/>
    </font>
  </fonts>
  <fills count="14">
    <fill>
      <patternFill patternType="none"/>
    </fill>
    <fill>
      <patternFill patternType="gray125"/>
    </fill>
    <fill>
      <patternFill patternType="solid">
        <fgColor indexed="10"/>
        <bgColor indexed="64"/>
      </patternFill>
    </fill>
    <fill>
      <patternFill patternType="solid">
        <fgColor indexed="9"/>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2" tint="-0.249977111117893"/>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hair">
        <color indexed="64"/>
      </top>
      <bottom style="hair">
        <color indexed="64"/>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right/>
      <top style="medium">
        <color indexed="64"/>
      </top>
      <bottom style="medium">
        <color indexed="64"/>
      </bottom>
      <diagonal/>
    </border>
  </borders>
  <cellStyleXfs count="208">
    <xf numFmtId="0" fontId="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64" fontId="1" fillId="0" borderId="0" applyFont="0" applyFill="0" applyBorder="0" applyAlignment="0" applyProtection="0"/>
    <xf numFmtId="164" fontId="1" fillId="0" borderId="0" applyFont="0" applyFill="0" applyBorder="0" applyAlignment="0" applyProtection="0"/>
  </cellStyleXfs>
  <cellXfs count="268">
    <xf numFmtId="0" fontId="0" fillId="0" borderId="0" xfId="0"/>
    <xf numFmtId="4" fontId="0" fillId="0" borderId="0" xfId="0" applyNumberFormat="1" applyAlignment="1">
      <alignment horizontal="center"/>
    </xf>
    <xf numFmtId="0" fontId="4" fillId="0" borderId="1" xfId="0" applyFont="1" applyBorder="1" applyAlignment="1">
      <alignment horizontal="center" vertical="top" wrapText="1"/>
    </xf>
    <xf numFmtId="0" fontId="2" fillId="0" borderId="2" xfId="0" applyFont="1" applyBorder="1" applyAlignment="1">
      <alignment horizontal="center" vertical="top" wrapText="1"/>
    </xf>
    <xf numFmtId="0" fontId="4" fillId="0" borderId="3" xfId="0" applyFont="1" applyBorder="1" applyAlignment="1">
      <alignment horizontal="center" vertical="top" wrapText="1"/>
    </xf>
    <xf numFmtId="0" fontId="8" fillId="0" borderId="0" xfId="0" applyFont="1"/>
    <xf numFmtId="0" fontId="3" fillId="0" borderId="0" xfId="0" applyFont="1" applyAlignment="1">
      <alignment horizontal="center" vertical="center" wrapText="1"/>
    </xf>
    <xf numFmtId="0" fontId="6" fillId="0" borderId="0" xfId="0" applyFont="1" applyAlignment="1">
      <alignment horizontal="center" vertical="center" wrapText="1"/>
    </xf>
    <xf numFmtId="0" fontId="10"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14" fillId="0" borderId="2" xfId="0" applyFont="1" applyBorder="1" applyAlignment="1">
      <alignment horizontal="center" vertical="top" wrapText="1"/>
    </xf>
    <xf numFmtId="0" fontId="11" fillId="0" borderId="0" xfId="0" applyFont="1" applyAlignment="1">
      <alignment horizontal="center" vertical="center" wrapText="1"/>
    </xf>
    <xf numFmtId="0" fontId="6" fillId="0" borderId="0" xfId="0" applyFont="1" applyAlignment="1">
      <alignment vertical="center" wrapText="1"/>
    </xf>
    <xf numFmtId="0" fontId="13" fillId="0" borderId="0" xfId="0" applyFont="1" applyAlignment="1">
      <alignment horizontal="center" vertical="center" wrapText="1"/>
    </xf>
    <xf numFmtId="4" fontId="6" fillId="0" borderId="0" xfId="0" applyNumberFormat="1" applyFont="1" applyAlignment="1">
      <alignment horizontal="right" vertical="center" wrapText="1" indent="1"/>
    </xf>
    <xf numFmtId="4" fontId="0" fillId="0" borderId="0" xfId="0" applyNumberFormat="1" applyAlignment="1">
      <alignment horizontal="right" vertical="center" indent="1"/>
    </xf>
    <xf numFmtId="4" fontId="4" fillId="0" borderId="1" xfId="0" applyNumberFormat="1" applyFont="1" applyBorder="1" applyAlignment="1">
      <alignment horizontal="right" vertical="center" wrapText="1" indent="1"/>
    </xf>
    <xf numFmtId="0" fontId="0" fillId="0" borderId="0" xfId="0" applyAlignment="1">
      <alignment horizontal="right" vertical="center" indent="1"/>
    </xf>
    <xf numFmtId="0" fontId="3" fillId="0" borderId="0" xfId="0" applyFont="1" applyAlignment="1">
      <alignment vertical="center" wrapText="1"/>
    </xf>
    <xf numFmtId="0" fontId="9" fillId="0" borderId="0" xfId="0" applyFont="1" applyAlignment="1">
      <alignment horizontal="center" vertical="center" wrapText="1"/>
    </xf>
    <xf numFmtId="0" fontId="5" fillId="0" borderId="0" xfId="0" applyFont="1" applyAlignment="1">
      <alignment horizontal="right" vertical="center" wrapText="1"/>
    </xf>
    <xf numFmtId="0" fontId="6" fillId="0" borderId="0" xfId="0" applyFont="1"/>
    <xf numFmtId="4" fontId="5" fillId="0" borderId="0" xfId="0" applyNumberFormat="1" applyFont="1" applyAlignment="1">
      <alignment horizontal="right" vertical="center" wrapText="1" indent="1"/>
    </xf>
    <xf numFmtId="4" fontId="6" fillId="0" borderId="0" xfId="0" applyNumberFormat="1" applyFont="1" applyAlignment="1">
      <alignment horizontal="left"/>
    </xf>
    <xf numFmtId="0" fontId="13" fillId="0" borderId="0" xfId="0" applyFont="1" applyAlignment="1">
      <alignment horizontal="right" vertical="center" indent="1"/>
    </xf>
    <xf numFmtId="0" fontId="8" fillId="0" borderId="0" xfId="0" applyFont="1" applyAlignment="1">
      <alignment horizontal="right" vertical="center" indent="1"/>
    </xf>
    <xf numFmtId="0" fontId="12" fillId="0" borderId="0" xfId="0" applyFont="1"/>
    <xf numFmtId="0" fontId="10" fillId="2" borderId="0" xfId="0" applyFont="1" applyFill="1" applyAlignment="1">
      <alignment vertical="center"/>
    </xf>
    <xf numFmtId="0" fontId="13"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2"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6" fillId="4" borderId="4" xfId="0" applyFont="1" applyFill="1" applyBorder="1" applyAlignment="1">
      <alignment vertical="center" wrapText="1"/>
    </xf>
    <xf numFmtId="0" fontId="16" fillId="4" borderId="4" xfId="0" applyFont="1" applyFill="1" applyBorder="1" applyAlignment="1">
      <alignment vertical="center"/>
    </xf>
    <xf numFmtId="0" fontId="15" fillId="4" borderId="4" xfId="0" applyFont="1" applyFill="1" applyBorder="1" applyAlignment="1">
      <alignment vertical="center"/>
    </xf>
    <xf numFmtId="0" fontId="4" fillId="0" borderId="1" xfId="0" applyFont="1" applyBorder="1" applyAlignment="1">
      <alignment horizontal="center" vertical="center" wrapText="1"/>
    </xf>
    <xf numFmtId="0" fontId="13"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6" fillId="5" borderId="4" xfId="0" applyFont="1" applyFill="1" applyBorder="1" applyAlignment="1">
      <alignment vertical="center" wrapText="1"/>
    </xf>
    <xf numFmtId="0" fontId="11" fillId="3"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3" fillId="4" borderId="4" xfId="0" applyFont="1" applyFill="1" applyBorder="1" applyAlignment="1">
      <alignment vertical="center" wrapText="1"/>
    </xf>
    <xf numFmtId="4" fontId="13" fillId="4" borderId="4" xfId="0" applyNumberFormat="1" applyFont="1" applyFill="1" applyBorder="1" applyAlignment="1">
      <alignment horizontal="center" vertical="center" wrapText="1"/>
    </xf>
    <xf numFmtId="4" fontId="13" fillId="4" borderId="4" xfId="0" applyNumberFormat="1" applyFont="1" applyFill="1" applyBorder="1" applyAlignment="1">
      <alignment horizontal="right" vertical="center" wrapText="1" indent="1"/>
    </xf>
    <xf numFmtId="0" fontId="13" fillId="5" borderId="4" xfId="0" applyFont="1" applyFill="1" applyBorder="1" applyAlignment="1">
      <alignment vertical="center" wrapText="1"/>
    </xf>
    <xf numFmtId="4" fontId="13" fillId="5" borderId="4" xfId="0" applyNumberFormat="1" applyFont="1" applyFill="1" applyBorder="1" applyAlignment="1">
      <alignment horizontal="right" vertical="center" wrapText="1" indent="1"/>
    </xf>
    <xf numFmtId="164" fontId="13" fillId="4" borderId="4" xfId="206" applyFont="1" applyFill="1" applyBorder="1" applyAlignment="1">
      <alignment horizontal="right" vertical="center" wrapText="1" indent="1"/>
    </xf>
    <xf numFmtId="164" fontId="13" fillId="4" borderId="4" xfId="206"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6" xfId="0" applyFont="1" applyFill="1" applyBorder="1" applyAlignment="1">
      <alignment vertical="center" wrapText="1"/>
    </xf>
    <xf numFmtId="164" fontId="13" fillId="4" borderId="6" xfId="206" applyFont="1" applyFill="1" applyBorder="1" applyAlignment="1">
      <alignment horizontal="right" vertical="center" wrapText="1" inden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0" borderId="4" xfId="0" applyFont="1" applyBorder="1" applyAlignment="1">
      <alignment vertical="center" wrapText="1"/>
    </xf>
    <xf numFmtId="4" fontId="13" fillId="0" borderId="4" xfId="0" applyNumberFormat="1" applyFont="1" applyBorder="1" applyAlignment="1">
      <alignment horizontal="right" vertical="center" wrapText="1" indent="1"/>
    </xf>
    <xf numFmtId="0" fontId="0" fillId="0" borderId="4" xfId="0" applyBorder="1" applyAlignment="1">
      <alignment vertical="center"/>
    </xf>
    <xf numFmtId="0" fontId="16" fillId="2" borderId="4" xfId="0" applyFont="1" applyFill="1" applyBorder="1" applyAlignment="1">
      <alignment vertical="center" wrapText="1"/>
    </xf>
    <xf numFmtId="4" fontId="13" fillId="2" borderId="4" xfId="0" applyNumberFormat="1" applyFont="1" applyFill="1" applyBorder="1" applyAlignment="1">
      <alignment horizontal="right" vertical="center" wrapText="1" indent="1"/>
    </xf>
    <xf numFmtId="0" fontId="0" fillId="2" borderId="4" xfId="0" applyFill="1" applyBorder="1" applyAlignment="1">
      <alignment vertical="center"/>
    </xf>
    <xf numFmtId="164" fontId="13" fillId="0" borderId="4" xfId="206" applyFont="1" applyFill="1" applyBorder="1" applyAlignment="1">
      <alignment horizontal="right" vertical="center" wrapText="1" indent="1"/>
    </xf>
    <xf numFmtId="0" fontId="13" fillId="3" borderId="4" xfId="0" applyFont="1" applyFill="1" applyBorder="1" applyAlignment="1">
      <alignment horizontal="center" vertical="center" wrapText="1"/>
    </xf>
    <xf numFmtId="0" fontId="13" fillId="3" borderId="4" xfId="0" applyFont="1" applyFill="1" applyBorder="1" applyAlignment="1">
      <alignment vertical="center" wrapText="1"/>
    </xf>
    <xf numFmtId="4" fontId="13" fillId="3" borderId="4" xfId="0" applyNumberFormat="1" applyFont="1" applyFill="1" applyBorder="1" applyAlignment="1">
      <alignment horizontal="center" vertical="center" wrapText="1"/>
    </xf>
    <xf numFmtId="11" fontId="13" fillId="4" borderId="4" xfId="0" applyNumberFormat="1" applyFont="1" applyFill="1" applyBorder="1" applyAlignment="1">
      <alignment horizontal="center" vertical="center" wrapText="1"/>
    </xf>
    <xf numFmtId="0" fontId="8" fillId="0" borderId="0" xfId="0" applyFont="1" applyAlignment="1">
      <alignment horizontal="left"/>
    </xf>
    <xf numFmtId="1" fontId="13" fillId="0" borderId="5" xfId="0" applyNumberFormat="1" applyFont="1" applyBorder="1" applyAlignment="1">
      <alignment horizontal="center" vertical="center" wrapText="1"/>
    </xf>
    <xf numFmtId="0" fontId="13" fillId="0" borderId="8" xfId="0" applyFont="1" applyBorder="1" applyAlignment="1">
      <alignment horizontal="left" vertical="center" wrapText="1"/>
    </xf>
    <xf numFmtId="1" fontId="13" fillId="4" borderId="5" xfId="0" applyNumberFormat="1" applyFont="1" applyFill="1" applyBorder="1" applyAlignment="1">
      <alignment horizontal="center" vertical="center" wrapText="1"/>
    </xf>
    <xf numFmtId="1" fontId="13" fillId="4" borderId="8" xfId="0" applyNumberFormat="1" applyFont="1" applyFill="1" applyBorder="1" applyAlignment="1">
      <alignment vertical="center" wrapText="1"/>
    </xf>
    <xf numFmtId="1" fontId="13" fillId="4" borderId="5" xfId="0" applyNumberFormat="1" applyFont="1" applyFill="1" applyBorder="1" applyAlignment="1">
      <alignment horizontal="center" vertical="center"/>
    </xf>
    <xf numFmtId="1" fontId="13" fillId="4" borderId="5" xfId="0" applyNumberFormat="1" applyFont="1" applyFill="1" applyBorder="1" applyAlignment="1">
      <alignment horizontal="right" vertical="center" wrapText="1"/>
    </xf>
    <xf numFmtId="0" fontId="13" fillId="4" borderId="8" xfId="0" applyFont="1" applyFill="1" applyBorder="1" applyAlignment="1">
      <alignment horizontal="left" vertical="center" wrapText="1"/>
    </xf>
    <xf numFmtId="1" fontId="13" fillId="5" borderId="8" xfId="0" applyNumberFormat="1" applyFont="1" applyFill="1" applyBorder="1" applyAlignment="1">
      <alignment vertical="center" wrapText="1"/>
    </xf>
    <xf numFmtId="1" fontId="13" fillId="5" borderId="5" xfId="0" applyNumberFormat="1" applyFont="1" applyFill="1" applyBorder="1" applyAlignment="1">
      <alignment horizontal="center" vertical="center"/>
    </xf>
    <xf numFmtId="1" fontId="13" fillId="6" borderId="5" xfId="0" applyNumberFormat="1" applyFont="1" applyFill="1" applyBorder="1" applyAlignment="1">
      <alignment horizontal="center" vertical="center" wrapText="1"/>
    </xf>
    <xf numFmtId="0" fontId="13" fillId="6" borderId="8" xfId="0" applyFont="1" applyFill="1" applyBorder="1" applyAlignment="1">
      <alignment horizontal="left" vertical="center" wrapText="1"/>
    </xf>
    <xf numFmtId="0" fontId="4" fillId="0" borderId="2" xfId="0" applyFont="1" applyBorder="1" applyAlignment="1">
      <alignment horizontal="center" vertical="top" wrapText="1"/>
    </xf>
    <xf numFmtId="2" fontId="13" fillId="4" borderId="4" xfId="0" applyNumberFormat="1" applyFont="1" applyFill="1" applyBorder="1" applyAlignment="1">
      <alignment horizontal="center" vertical="center" wrapText="1"/>
    </xf>
    <xf numFmtId="2" fontId="13" fillId="5" borderId="4" xfId="0" applyNumberFormat="1" applyFont="1" applyFill="1" applyBorder="1" applyAlignment="1">
      <alignment horizontal="center" vertical="center" wrapText="1"/>
    </xf>
    <xf numFmtId="2" fontId="0" fillId="4" borderId="4" xfId="0" applyNumberFormat="1" applyFill="1" applyBorder="1" applyAlignment="1">
      <alignment horizontal="center" vertical="center" wrapText="1"/>
    </xf>
    <xf numFmtId="2" fontId="13" fillId="4" borderId="0" xfId="0" applyNumberFormat="1" applyFont="1" applyFill="1" applyAlignment="1">
      <alignment horizontal="center" vertical="center" wrapText="1"/>
    </xf>
    <xf numFmtId="2" fontId="13" fillId="0" borderId="4" xfId="0" applyNumberFormat="1" applyFont="1" applyBorder="1" applyAlignment="1">
      <alignment horizontal="center" vertical="center" wrapText="1"/>
    </xf>
    <xf numFmtId="2" fontId="13" fillId="2" borderId="4" xfId="0" applyNumberFormat="1" applyFont="1" applyFill="1" applyBorder="1" applyAlignment="1">
      <alignment horizontal="center" vertical="center" wrapText="1"/>
    </xf>
    <xf numFmtId="2" fontId="13" fillId="3" borderId="4" xfId="0" applyNumberFormat="1" applyFont="1" applyFill="1" applyBorder="1" applyAlignment="1">
      <alignment horizontal="center" vertical="center" wrapText="1"/>
    </xf>
    <xf numFmtId="0" fontId="15" fillId="0" borderId="4" xfId="0" applyFont="1" applyBorder="1" applyAlignment="1">
      <alignment vertical="center"/>
    </xf>
    <xf numFmtId="4" fontId="13" fillId="0" borderId="4" xfId="0" applyNumberFormat="1" applyFont="1" applyBorder="1" applyAlignment="1">
      <alignment horizontal="center" vertical="center" wrapText="1"/>
    </xf>
    <xf numFmtId="0" fontId="13" fillId="4" borderId="7" xfId="0" applyFont="1" applyFill="1" applyBorder="1" applyAlignment="1">
      <alignment vertical="center" wrapText="1"/>
    </xf>
    <xf numFmtId="1" fontId="13" fillId="4" borderId="9" xfId="0" applyNumberFormat="1" applyFont="1" applyFill="1" applyBorder="1" applyAlignment="1">
      <alignment horizontal="center" vertical="center" wrapText="1"/>
    </xf>
    <xf numFmtId="4" fontId="13" fillId="4" borderId="7" xfId="0" applyNumberFormat="1" applyFont="1" applyFill="1" applyBorder="1" applyAlignment="1">
      <alignment horizontal="right" vertical="center" wrapText="1" indent="1"/>
    </xf>
    <xf numFmtId="2" fontId="13" fillId="4" borderId="7" xfId="0" applyNumberFormat="1" applyFont="1" applyFill="1" applyBorder="1" applyAlignment="1">
      <alignment horizontal="center" vertical="center" wrapText="1"/>
    </xf>
    <xf numFmtId="0" fontId="16" fillId="4" borderId="7" xfId="0" applyFont="1" applyFill="1" applyBorder="1" applyAlignment="1">
      <alignment vertical="center"/>
    </xf>
    <xf numFmtId="164" fontId="13" fillId="0" borderId="4" xfId="206" applyFont="1" applyFill="1" applyBorder="1" applyAlignment="1">
      <alignment horizontal="center" vertical="center" wrapText="1"/>
    </xf>
    <xf numFmtId="0" fontId="16" fillId="0" borderId="4" xfId="0" applyFont="1" applyBorder="1" applyAlignment="1">
      <alignment vertical="center"/>
    </xf>
    <xf numFmtId="0" fontId="16" fillId="0" borderId="4" xfId="0" applyFont="1" applyBorder="1" applyAlignment="1">
      <alignment vertical="center" wrapText="1"/>
    </xf>
    <xf numFmtId="4" fontId="13" fillId="0" borderId="4" xfId="0" applyNumberFormat="1" applyFont="1" applyBorder="1" applyAlignment="1">
      <alignment horizontal="center" vertical="center"/>
    </xf>
    <xf numFmtId="2" fontId="13" fillId="0" borderId="4" xfId="0" applyNumberFormat="1" applyFont="1" applyBorder="1" applyAlignment="1">
      <alignment horizontal="center" vertical="center"/>
    </xf>
    <xf numFmtId="4" fontId="17" fillId="0" borderId="4" xfId="0" applyNumberFormat="1" applyFont="1" applyBorder="1" applyAlignment="1">
      <alignment horizontal="center" vertical="center" wrapText="1"/>
    </xf>
    <xf numFmtId="0" fontId="6" fillId="4" borderId="7" xfId="0" applyFont="1" applyFill="1" applyBorder="1" applyAlignment="1">
      <alignment horizontal="center" vertical="center" wrapText="1"/>
    </xf>
    <xf numFmtId="4" fontId="13" fillId="4" borderId="7" xfId="0" applyNumberFormat="1" applyFont="1" applyFill="1" applyBorder="1" applyAlignment="1">
      <alignment horizontal="center" vertical="center" wrapText="1"/>
    </xf>
    <xf numFmtId="0" fontId="13" fillId="7" borderId="5" xfId="0" applyFont="1" applyFill="1" applyBorder="1" applyAlignment="1">
      <alignment vertical="center" wrapText="1"/>
    </xf>
    <xf numFmtId="11" fontId="13" fillId="0" borderId="4" xfId="0" applyNumberFormat="1" applyFont="1" applyBorder="1" applyAlignment="1">
      <alignment horizontal="center" vertical="center" wrapText="1"/>
    </xf>
    <xf numFmtId="4" fontId="0" fillId="0" borderId="4" xfId="0" applyNumberFormat="1" applyBorder="1" applyAlignment="1">
      <alignment horizontal="right" vertical="center" indent="1"/>
    </xf>
    <xf numFmtId="0" fontId="13" fillId="7" borderId="4" xfId="0" applyFont="1" applyFill="1" applyBorder="1" applyAlignment="1">
      <alignment horizontal="center" vertical="center" wrapText="1"/>
    </xf>
    <xf numFmtId="4" fontId="13" fillId="7" borderId="4"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13" fillId="0" borderId="4" xfId="0" applyFont="1" applyBorder="1" applyAlignment="1">
      <alignment horizontal="center" vertical="center"/>
    </xf>
    <xf numFmtId="0" fontId="20" fillId="0" borderId="4" xfId="0" applyFont="1" applyBorder="1" applyAlignment="1">
      <alignment horizontal="center" vertical="center" wrapText="1"/>
    </xf>
    <xf numFmtId="0" fontId="13" fillId="0" borderId="5" xfId="0" applyFont="1" applyBorder="1" applyAlignment="1">
      <alignment vertical="center" wrapText="1"/>
    </xf>
    <xf numFmtId="4" fontId="13" fillId="0" borderId="8" xfId="0" applyNumberFormat="1" applyFont="1" applyBorder="1" applyAlignment="1">
      <alignment horizontal="center" vertical="center" wrapText="1"/>
    </xf>
    <xf numFmtId="0" fontId="13" fillId="0" borderId="5" xfId="0" applyFont="1" applyBorder="1" applyAlignment="1">
      <alignment horizontal="left" vertical="center" wrapText="1"/>
    </xf>
    <xf numFmtId="4" fontId="13" fillId="0" borderId="8" xfId="0" applyNumberFormat="1" applyFont="1" applyBorder="1" applyAlignment="1">
      <alignment horizontal="right" vertical="center" wrapText="1" indent="1"/>
    </xf>
    <xf numFmtId="4" fontId="13" fillId="7" borderId="8" xfId="0" applyNumberFormat="1" applyFont="1" applyFill="1" applyBorder="1" applyAlignment="1">
      <alignment horizontal="center" vertical="center" wrapText="1"/>
    </xf>
    <xf numFmtId="0" fontId="13" fillId="0" borderId="8" xfId="0" applyFont="1" applyBorder="1" applyAlignment="1">
      <alignment horizontal="center" vertical="center" wrapText="1"/>
    </xf>
    <xf numFmtId="1" fontId="13" fillId="0" borderId="10" xfId="0" applyNumberFormat="1" applyFont="1" applyBorder="1" applyAlignment="1">
      <alignment vertical="center" wrapText="1"/>
    </xf>
    <xf numFmtId="1" fontId="13" fillId="0" borderId="11" xfId="0" applyNumberFormat="1" applyFont="1" applyBorder="1" applyAlignment="1">
      <alignment vertical="center" wrapText="1"/>
    </xf>
    <xf numFmtId="4" fontId="13" fillId="6" borderId="4" xfId="0" applyNumberFormat="1" applyFont="1" applyFill="1" applyBorder="1" applyAlignment="1">
      <alignment horizontal="center" vertical="center" wrapText="1"/>
    </xf>
    <xf numFmtId="0" fontId="13" fillId="6" borderId="4" xfId="0" applyFont="1" applyFill="1" applyBorder="1" applyAlignment="1">
      <alignment horizontal="center" vertical="center" wrapText="1"/>
    </xf>
    <xf numFmtId="2" fontId="13" fillId="6" borderId="4" xfId="0" applyNumberFormat="1" applyFont="1" applyFill="1" applyBorder="1" applyAlignment="1">
      <alignment horizontal="center" vertical="center" wrapText="1"/>
    </xf>
    <xf numFmtId="0" fontId="0" fillId="4" borderId="4" xfId="0" applyFill="1" applyBorder="1" applyAlignment="1">
      <alignment vertical="center" wrapText="1"/>
    </xf>
    <xf numFmtId="0" fontId="13" fillId="8" borderId="4" xfId="0" applyFont="1" applyFill="1" applyBorder="1" applyAlignment="1">
      <alignment vertical="center" wrapText="1"/>
    </xf>
    <xf numFmtId="4" fontId="13" fillId="6" borderId="4" xfId="0" applyNumberFormat="1" applyFont="1" applyFill="1" applyBorder="1" applyAlignment="1">
      <alignment horizontal="right" vertical="center" wrapText="1" indent="1"/>
    </xf>
    <xf numFmtId="165" fontId="13" fillId="4" borderId="4" xfId="0" applyNumberFormat="1" applyFont="1" applyFill="1" applyBorder="1" applyAlignment="1">
      <alignment horizontal="right" vertical="center" wrapText="1" indent="1"/>
    </xf>
    <xf numFmtId="2" fontId="13" fillId="4" borderId="4" xfId="0" applyNumberFormat="1" applyFont="1" applyFill="1" applyBorder="1" applyAlignment="1">
      <alignment horizontal="center" vertical="center"/>
    </xf>
    <xf numFmtId="1" fontId="13" fillId="4" borderId="12" xfId="0" applyNumberFormat="1" applyFont="1" applyFill="1" applyBorder="1" applyAlignment="1">
      <alignment horizontal="right" vertical="center" wrapText="1"/>
    </xf>
    <xf numFmtId="1" fontId="13" fillId="4" borderId="12" xfId="0" applyNumberFormat="1" applyFont="1" applyFill="1" applyBorder="1" applyAlignment="1">
      <alignment vertical="center" wrapText="1"/>
    </xf>
    <xf numFmtId="1" fontId="13" fillId="4" borderId="12" xfId="0" applyNumberFormat="1" applyFont="1" applyFill="1" applyBorder="1" applyAlignment="1">
      <alignment horizontal="right" vertical="center"/>
    </xf>
    <xf numFmtId="0" fontId="13" fillId="4" borderId="12" xfId="0" applyFont="1" applyFill="1" applyBorder="1" applyAlignment="1">
      <alignment horizontal="left" vertical="center" wrapText="1"/>
    </xf>
    <xf numFmtId="0" fontId="13" fillId="4" borderId="12" xfId="0" applyFont="1" applyFill="1" applyBorder="1" applyAlignment="1">
      <alignment horizontal="left" vertical="center"/>
    </xf>
    <xf numFmtId="1" fontId="13" fillId="0" borderId="12" xfId="0" applyNumberFormat="1" applyFont="1" applyBorder="1" applyAlignment="1">
      <alignment vertical="center" wrapText="1"/>
    </xf>
    <xf numFmtId="2" fontId="0" fillId="4" borderId="4" xfId="0" applyNumberFormat="1" applyFill="1" applyBorder="1" applyAlignment="1">
      <alignment horizontal="center" vertical="center"/>
    </xf>
    <xf numFmtId="4" fontId="13" fillId="4" borderId="4" xfId="0" applyNumberFormat="1" applyFont="1" applyFill="1" applyBorder="1" applyAlignment="1">
      <alignment horizontal="right" vertical="center" wrapText="1"/>
    </xf>
    <xf numFmtId="4" fontId="13" fillId="0" borderId="4" xfId="0" applyNumberFormat="1" applyFont="1" applyBorder="1" applyAlignment="1">
      <alignment horizontal="right" vertical="center" wrapText="1"/>
    </xf>
    <xf numFmtId="1" fontId="13" fillId="0" borderId="12" xfId="0" applyNumberFormat="1" applyFont="1" applyBorder="1" applyAlignment="1">
      <alignment horizontal="right" vertical="center" wrapText="1"/>
    </xf>
    <xf numFmtId="1" fontId="13" fillId="5" borderId="5" xfId="0" applyNumberFormat="1" applyFont="1" applyFill="1" applyBorder="1" applyAlignment="1">
      <alignment vertical="center" wrapText="1"/>
    </xf>
    <xf numFmtId="1" fontId="13" fillId="4" borderId="5" xfId="0" applyNumberFormat="1" applyFont="1" applyFill="1" applyBorder="1" applyAlignment="1">
      <alignment horizontal="right" vertical="center"/>
    </xf>
    <xf numFmtId="0" fontId="20" fillId="4" borderId="4"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23" fillId="0" borderId="0" xfId="0" applyFont="1" applyAlignment="1">
      <alignment vertical="center"/>
    </xf>
    <xf numFmtId="0" fontId="0" fillId="0" borderId="4" xfId="0" applyBorder="1" applyAlignment="1">
      <alignment vertical="center" wrapText="1"/>
    </xf>
    <xf numFmtId="2" fontId="13" fillId="4" borderId="5" xfId="0" applyNumberFormat="1" applyFont="1" applyFill="1" applyBorder="1" applyAlignment="1">
      <alignment horizontal="center" vertical="center" wrapText="1"/>
    </xf>
    <xf numFmtId="0" fontId="25" fillId="4" borderId="4" xfId="0" applyFont="1" applyFill="1" applyBorder="1" applyAlignment="1">
      <alignment vertical="center" wrapText="1"/>
    </xf>
    <xf numFmtId="0" fontId="13" fillId="4" borderId="13" xfId="0" applyFont="1" applyFill="1" applyBorder="1" applyAlignment="1">
      <alignment horizontal="left" vertical="center" wrapText="1"/>
    </xf>
    <xf numFmtId="1" fontId="13" fillId="4" borderId="12"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2" fontId="13" fillId="4" borderId="4" xfId="0" applyNumberFormat="1" applyFont="1" applyFill="1" applyBorder="1" applyAlignment="1">
      <alignment horizontal="right" vertical="center" wrapText="1" indent="1"/>
    </xf>
    <xf numFmtId="49" fontId="13" fillId="4" borderId="14" xfId="15" applyNumberFormat="1" applyFont="1" applyFill="1" applyBorder="1" applyAlignment="1">
      <alignment horizontal="center" vertical="center"/>
    </xf>
    <xf numFmtId="0" fontId="36" fillId="4" borderId="4" xfId="15" applyFont="1" applyFill="1" applyBorder="1" applyAlignment="1">
      <alignment horizontal="left" vertical="center"/>
    </xf>
    <xf numFmtId="164" fontId="13" fillId="6" borderId="4" xfId="206" applyFont="1" applyFill="1" applyBorder="1" applyAlignment="1">
      <alignment horizontal="right" vertical="center" wrapText="1" indent="1"/>
    </xf>
    <xf numFmtId="0" fontId="13" fillId="5" borderId="8" xfId="0" applyFont="1" applyFill="1" applyBorder="1" applyAlignment="1">
      <alignment horizontal="left" vertical="center" wrapText="1"/>
    </xf>
    <xf numFmtId="164" fontId="13" fillId="5" borderId="4" xfId="206" applyFont="1" applyFill="1" applyBorder="1" applyAlignment="1">
      <alignment horizontal="right" vertical="center" wrapText="1" indent="1"/>
    </xf>
    <xf numFmtId="1" fontId="13" fillId="0" borderId="5" xfId="0" applyNumberFormat="1" applyFont="1" applyBorder="1" applyAlignment="1">
      <alignment horizontal="right" vertical="center" wrapText="1"/>
    </xf>
    <xf numFmtId="2" fontId="13" fillId="0" borderId="4" xfId="0" applyNumberFormat="1" applyFont="1" applyBorder="1" applyAlignment="1">
      <alignment horizontal="right" vertical="center" wrapText="1" indent="1"/>
    </xf>
    <xf numFmtId="1" fontId="13" fillId="0" borderId="8" xfId="0" applyNumberFormat="1" applyFont="1" applyBorder="1" applyAlignment="1">
      <alignment vertical="center" wrapText="1"/>
    </xf>
    <xf numFmtId="0" fontId="11" fillId="0" borderId="8" xfId="0" applyFont="1" applyBorder="1" applyAlignment="1">
      <alignment horizontal="center" vertical="center" wrapText="1"/>
    </xf>
    <xf numFmtId="0" fontId="11" fillId="4" borderId="8"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22" fillId="4" borderId="4" xfId="0" applyFont="1" applyFill="1" applyBorder="1" applyAlignment="1">
      <alignment vertical="center" wrapText="1"/>
    </xf>
    <xf numFmtId="0" fontId="27" fillId="4" borderId="4"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20" fillId="4" borderId="4" xfId="0" applyFont="1" applyFill="1" applyBorder="1" applyAlignment="1">
      <alignment vertical="center" wrapText="1"/>
    </xf>
    <xf numFmtId="1" fontId="13" fillId="0" borderId="0" xfId="0" applyNumberFormat="1" applyFont="1" applyAlignment="1">
      <alignment horizontal="center" vertical="center" wrapText="1"/>
    </xf>
    <xf numFmtId="0" fontId="13" fillId="0" borderId="0" xfId="0" applyFont="1" applyAlignment="1">
      <alignment horizontal="left" vertical="center" wrapText="1"/>
    </xf>
    <xf numFmtId="2" fontId="13" fillId="0" borderId="0" xfId="0" applyNumberFormat="1" applyFont="1" applyAlignment="1">
      <alignment horizontal="center" vertical="center" wrapText="1"/>
    </xf>
    <xf numFmtId="0" fontId="16" fillId="0" borderId="0" xfId="0" applyFont="1" applyAlignment="1">
      <alignment vertical="center" wrapText="1"/>
    </xf>
    <xf numFmtId="0" fontId="22" fillId="0" borderId="0" xfId="0" applyFont="1" applyAlignment="1">
      <alignment horizontal="center" vertical="center" wrapText="1"/>
    </xf>
    <xf numFmtId="0" fontId="22" fillId="0" borderId="0" xfId="0" applyFont="1" applyAlignment="1">
      <alignment vertical="center" wrapText="1"/>
    </xf>
    <xf numFmtId="164" fontId="13" fillId="0" borderId="0" xfId="206" applyFont="1" applyFill="1" applyBorder="1" applyAlignment="1">
      <alignment horizontal="right" vertical="center" wrapText="1" indent="1"/>
    </xf>
    <xf numFmtId="1" fontId="13" fillId="4" borderId="5" xfId="0" applyNumberFormat="1" applyFont="1" applyFill="1" applyBorder="1" applyAlignment="1">
      <alignment vertical="center" wrapText="1"/>
    </xf>
    <xf numFmtId="0" fontId="6" fillId="0" borderId="14" xfId="0" applyFont="1" applyBorder="1"/>
    <xf numFmtId="0" fontId="8" fillId="0" borderId="14" xfId="0" applyFont="1" applyBorder="1"/>
    <xf numFmtId="0" fontId="7" fillId="4" borderId="4" xfId="0" applyFont="1" applyFill="1" applyBorder="1" applyAlignment="1">
      <alignment horizontal="center" vertical="center" wrapText="1"/>
    </xf>
    <xf numFmtId="0" fontId="0" fillId="4" borderId="4" xfId="0" applyFill="1" applyBorder="1" applyAlignment="1">
      <alignment vertical="center"/>
    </xf>
    <xf numFmtId="164" fontId="13" fillId="4" borderId="4" xfId="206" applyFont="1" applyFill="1" applyBorder="1" applyAlignment="1">
      <alignment horizontal="right" vertical="center" wrapText="1"/>
    </xf>
    <xf numFmtId="2" fontId="0" fillId="0" borderId="4" xfId="0" applyNumberFormat="1" applyBorder="1" applyAlignment="1">
      <alignment horizontal="center" vertical="center" wrapText="1"/>
    </xf>
    <xf numFmtId="11" fontId="13" fillId="4" borderId="7" xfId="0" applyNumberFormat="1" applyFont="1" applyFill="1" applyBorder="1" applyAlignment="1">
      <alignment horizontal="center" vertical="center" wrapText="1"/>
    </xf>
    <xf numFmtId="0" fontId="37" fillId="4" borderId="4"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13" fillId="4" borderId="8" xfId="0" applyFont="1" applyFill="1" applyBorder="1" applyAlignment="1">
      <alignment vertical="center" wrapText="1"/>
    </xf>
    <xf numFmtId="0" fontId="30" fillId="2" borderId="4" xfId="0" applyFont="1" applyFill="1" applyBorder="1" applyAlignment="1">
      <alignment horizontal="center" vertical="center" wrapText="1"/>
    </xf>
    <xf numFmtId="0" fontId="13" fillId="4" borderId="5" xfId="0" applyFont="1" applyFill="1" applyBorder="1" applyAlignment="1">
      <alignment horizontal="center" vertical="center" wrapText="1"/>
    </xf>
    <xf numFmtId="11" fontId="13" fillId="4" borderId="4" xfId="0" applyNumberFormat="1" applyFont="1" applyFill="1" applyBorder="1" applyAlignment="1">
      <alignment vertical="center" wrapText="1"/>
    </xf>
    <xf numFmtId="0" fontId="20" fillId="5" borderId="4" xfId="0" applyFont="1" applyFill="1" applyBorder="1" applyAlignment="1">
      <alignment horizontal="center" vertical="center" wrapText="1"/>
    </xf>
    <xf numFmtId="0" fontId="13" fillId="4" borderId="0" xfId="0" applyFont="1" applyFill="1" applyAlignment="1">
      <alignment vertical="center" wrapText="1"/>
    </xf>
    <xf numFmtId="0" fontId="13" fillId="4" borderId="4" xfId="0" applyFont="1" applyFill="1" applyBorder="1" applyAlignment="1">
      <alignment vertical="center"/>
    </xf>
    <xf numFmtId="0" fontId="20" fillId="2" borderId="4"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13" fillId="4" borderId="0" xfId="0" applyFont="1" applyFill="1" applyAlignment="1">
      <alignment horizontal="center" vertical="center" wrapText="1"/>
    </xf>
    <xf numFmtId="0" fontId="13" fillId="4" borderId="4" xfId="0" applyFont="1" applyFill="1" applyBorder="1" applyAlignment="1">
      <alignment horizontal="center" vertical="center"/>
    </xf>
    <xf numFmtId="2" fontId="38" fillId="4" borderId="4"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22" fillId="4" borderId="10" xfId="0" applyFont="1" applyFill="1" applyBorder="1" applyAlignment="1">
      <alignment vertical="center" wrapText="1"/>
    </xf>
    <xf numFmtId="2" fontId="13" fillId="4" borderId="6" xfId="0" applyNumberFormat="1" applyFont="1" applyFill="1" applyBorder="1" applyAlignment="1">
      <alignment horizontal="center" vertical="center" wrapText="1"/>
    </xf>
    <xf numFmtId="0" fontId="22" fillId="4" borderId="8" xfId="0" applyFont="1" applyFill="1" applyBorder="1" applyAlignment="1">
      <alignment vertical="center" wrapText="1"/>
    </xf>
    <xf numFmtId="0" fontId="22" fillId="4" borderId="0" xfId="0" applyFont="1" applyFill="1" applyAlignment="1">
      <alignment vertical="center" wrapText="1"/>
    </xf>
    <xf numFmtId="0" fontId="0" fillId="4" borderId="4" xfId="0" applyFill="1" applyBorder="1"/>
    <xf numFmtId="0" fontId="30" fillId="0" borderId="4" xfId="0" applyFont="1" applyBorder="1" applyAlignment="1">
      <alignment horizontal="center" vertical="center" wrapText="1"/>
    </xf>
    <xf numFmtId="0" fontId="30" fillId="5" borderId="4" xfId="0" applyFont="1" applyFill="1" applyBorder="1" applyAlignment="1">
      <alignment horizontal="center" vertical="center" wrapText="1"/>
    </xf>
    <xf numFmtId="1" fontId="13" fillId="4" borderId="4" xfId="0" applyNumberFormat="1" applyFont="1" applyFill="1" applyBorder="1" applyAlignment="1">
      <alignment horizontal="center" vertical="center" wrapText="1"/>
    </xf>
    <xf numFmtId="0" fontId="32" fillId="4" borderId="4" xfId="0" applyFont="1" applyFill="1" applyBorder="1" applyAlignment="1">
      <alignment horizontal="center" vertical="center" wrapText="1"/>
    </xf>
    <xf numFmtId="1" fontId="22" fillId="4" borderId="8" xfId="0" applyNumberFormat="1" applyFont="1" applyFill="1" applyBorder="1" applyAlignment="1">
      <alignment vertical="center" wrapText="1"/>
    </xf>
    <xf numFmtId="0" fontId="7" fillId="0" borderId="0" xfId="0" applyFont="1"/>
    <xf numFmtId="0" fontId="11" fillId="9" borderId="4" xfId="0" applyFont="1" applyFill="1" applyBorder="1" applyAlignment="1">
      <alignment horizontal="center" vertical="center" wrapText="1"/>
    </xf>
    <xf numFmtId="0" fontId="13" fillId="9" borderId="4" xfId="0" applyFont="1" applyFill="1" applyBorder="1" applyAlignment="1">
      <alignment vertical="center" wrapText="1"/>
    </xf>
    <xf numFmtId="1" fontId="13" fillId="9" borderId="8" xfId="0" applyNumberFormat="1" applyFont="1" applyFill="1" applyBorder="1" applyAlignment="1">
      <alignment vertical="center" wrapText="1"/>
    </xf>
    <xf numFmtId="0" fontId="17" fillId="0" borderId="4" xfId="0" applyFont="1" applyBorder="1" applyAlignment="1">
      <alignment horizontal="center" vertical="center" wrapText="1"/>
    </xf>
    <xf numFmtId="1" fontId="13" fillId="0" borderId="12" xfId="0" applyNumberFormat="1" applyFont="1" applyBorder="1" applyAlignment="1">
      <alignment horizontal="center" vertical="center" wrapText="1"/>
    </xf>
    <xf numFmtId="0" fontId="22" fillId="0" borderId="4" xfId="0" applyFont="1" applyBorder="1" applyAlignment="1">
      <alignment vertical="center" wrapText="1"/>
    </xf>
    <xf numFmtId="0" fontId="20" fillId="0" borderId="4" xfId="0" applyFont="1" applyBorder="1" applyAlignment="1">
      <alignment vertical="center" wrapText="1"/>
    </xf>
    <xf numFmtId="1" fontId="13" fillId="9" borderId="5" xfId="0" applyNumberFormat="1" applyFont="1" applyFill="1" applyBorder="1" applyAlignment="1">
      <alignment horizontal="right" vertical="center" wrapText="1"/>
    </xf>
    <xf numFmtId="1" fontId="39" fillId="9" borderId="12" xfId="0" applyNumberFormat="1" applyFont="1" applyFill="1" applyBorder="1" applyAlignment="1">
      <alignment horizontal="right" vertical="center" wrapText="1"/>
    </xf>
    <xf numFmtId="1" fontId="13" fillId="9" borderId="12" xfId="0" applyNumberFormat="1" applyFont="1" applyFill="1" applyBorder="1" applyAlignment="1">
      <alignment vertical="center" wrapText="1"/>
    </xf>
    <xf numFmtId="1" fontId="39" fillId="9" borderId="5" xfId="0" applyNumberFormat="1" applyFont="1" applyFill="1" applyBorder="1" applyAlignment="1">
      <alignment horizontal="right" vertical="center"/>
    </xf>
    <xf numFmtId="1" fontId="13" fillId="9" borderId="12" xfId="0" applyNumberFormat="1" applyFont="1" applyFill="1" applyBorder="1" applyAlignment="1">
      <alignment horizontal="right" vertical="center" wrapText="1"/>
    </xf>
    <xf numFmtId="0" fontId="40" fillId="9" borderId="4" xfId="0" applyFont="1" applyFill="1" applyBorder="1" applyAlignment="1">
      <alignment vertical="center" wrapText="1"/>
    </xf>
    <xf numFmtId="0" fontId="13" fillId="4" borderId="5" xfId="0" applyFont="1" applyFill="1" applyBorder="1" applyAlignment="1">
      <alignment horizontal="right" vertical="center" wrapText="1"/>
    </xf>
    <xf numFmtId="0" fontId="0" fillId="4" borderId="4" xfId="0" applyFill="1" applyBorder="1" applyAlignment="1" applyProtection="1">
      <alignment vertical="center"/>
      <protection locked="0"/>
    </xf>
    <xf numFmtId="0" fontId="0" fillId="4" borderId="4" xfId="0" applyFill="1" applyBorder="1" applyAlignment="1" applyProtection="1">
      <alignment horizontal="left" vertical="center"/>
      <protection locked="0"/>
    </xf>
    <xf numFmtId="0" fontId="0" fillId="4" borderId="15" xfId="0" applyFill="1" applyBorder="1" applyAlignment="1" applyProtection="1">
      <alignment horizontal="left" vertical="center"/>
      <protection locked="0"/>
    </xf>
    <xf numFmtId="0" fontId="13" fillId="4" borderId="0" xfId="0" applyFont="1" applyFill="1" applyAlignment="1">
      <alignment horizontal="right" vertical="center" wrapText="1"/>
    </xf>
    <xf numFmtId="164" fontId="13" fillId="4" borderId="4" xfId="206" applyFont="1" applyFill="1" applyBorder="1" applyAlignment="1">
      <alignment vertical="center" wrapText="1"/>
    </xf>
    <xf numFmtId="0" fontId="25" fillId="0" borderId="4" xfId="0" applyFont="1" applyBorder="1" applyAlignment="1">
      <alignment vertical="center" wrapText="1"/>
    </xf>
    <xf numFmtId="0" fontId="7" fillId="4" borderId="4" xfId="0" applyFont="1" applyFill="1" applyBorder="1"/>
    <xf numFmtId="0" fontId="33" fillId="4" borderId="4" xfId="0" applyFont="1" applyFill="1" applyBorder="1" applyAlignment="1">
      <alignment vertical="center" wrapText="1"/>
    </xf>
    <xf numFmtId="1" fontId="13" fillId="0" borderId="16" xfId="0" applyNumberFormat="1" applyFont="1" applyBorder="1" applyAlignment="1">
      <alignment horizontal="right" vertical="center" wrapText="1"/>
    </xf>
    <xf numFmtId="1" fontId="13" fillId="0" borderId="9" xfId="0" applyNumberFormat="1" applyFont="1" applyBorder="1" applyAlignment="1">
      <alignment horizontal="right" vertical="center" wrapText="1"/>
    </xf>
    <xf numFmtId="1" fontId="13" fillId="4" borderId="17" xfId="0" applyNumberFormat="1" applyFont="1" applyFill="1" applyBorder="1" applyAlignment="1">
      <alignment horizontal="right" vertical="center" wrapText="1"/>
    </xf>
    <xf numFmtId="1" fontId="13" fillId="5" borderId="5" xfId="0" applyNumberFormat="1" applyFont="1" applyFill="1" applyBorder="1" applyAlignment="1">
      <alignment horizontal="right" vertical="center" wrapText="1"/>
    </xf>
    <xf numFmtId="1" fontId="20" fillId="4" borderId="12" xfId="0" applyNumberFormat="1" applyFont="1" applyFill="1" applyBorder="1" applyAlignment="1">
      <alignment horizontal="right" vertical="center" wrapText="1"/>
    </xf>
    <xf numFmtId="1" fontId="20" fillId="4" borderId="12" xfId="0" applyNumberFormat="1" applyFont="1" applyFill="1" applyBorder="1" applyAlignment="1">
      <alignment vertical="center" wrapText="1"/>
    </xf>
    <xf numFmtId="164" fontId="20" fillId="4" borderId="4" xfId="206" applyFont="1" applyFill="1" applyBorder="1" applyAlignment="1">
      <alignment horizontal="right" vertical="center" wrapText="1" indent="1"/>
    </xf>
    <xf numFmtId="2" fontId="20" fillId="4" borderId="4" xfId="0" applyNumberFormat="1" applyFont="1" applyFill="1" applyBorder="1" applyAlignment="1">
      <alignment horizontal="center" vertical="center" wrapText="1"/>
    </xf>
    <xf numFmtId="1" fontId="20" fillId="4" borderId="5" xfId="0" applyNumberFormat="1" applyFont="1" applyFill="1" applyBorder="1" applyAlignment="1">
      <alignment horizontal="right" vertical="center" wrapText="1"/>
    </xf>
    <xf numFmtId="0" fontId="20" fillId="4" borderId="8" xfId="0" applyFont="1" applyFill="1" applyBorder="1" applyAlignment="1">
      <alignment horizontal="left" vertical="center" wrapText="1"/>
    </xf>
    <xf numFmtId="1" fontId="20" fillId="4" borderId="5" xfId="0" applyNumberFormat="1" applyFont="1" applyFill="1" applyBorder="1" applyAlignment="1">
      <alignment vertical="center" wrapText="1"/>
    </xf>
    <xf numFmtId="0" fontId="30" fillId="4" borderId="5" xfId="0" applyFont="1" applyFill="1" applyBorder="1" applyAlignment="1">
      <alignment horizontal="center" vertical="center" wrapText="1"/>
    </xf>
    <xf numFmtId="0" fontId="20" fillId="4" borderId="8" xfId="0" applyFont="1" applyFill="1" applyBorder="1" applyAlignment="1">
      <alignment horizontal="center" vertical="center" wrapText="1"/>
    </xf>
    <xf numFmtId="1" fontId="20" fillId="4" borderId="5" xfId="0" applyNumberFormat="1" applyFont="1" applyFill="1" applyBorder="1" applyAlignment="1">
      <alignment horizontal="center" vertical="center" wrapText="1"/>
    </xf>
    <xf numFmtId="164" fontId="20" fillId="4" borderId="4" xfId="206" applyFont="1" applyFill="1" applyBorder="1" applyAlignment="1">
      <alignment horizontal="center" vertical="center" wrapText="1"/>
    </xf>
    <xf numFmtId="0" fontId="41" fillId="4" borderId="4" xfId="0" applyFont="1" applyFill="1" applyBorder="1" applyAlignment="1">
      <alignment vertical="center" wrapText="1"/>
    </xf>
    <xf numFmtId="0" fontId="20" fillId="4" borderId="5" xfId="0" applyFont="1" applyFill="1" applyBorder="1" applyAlignment="1">
      <alignment horizontal="right" vertical="center" wrapText="1"/>
    </xf>
    <xf numFmtId="0" fontId="20" fillId="4" borderId="8" xfId="0" applyFont="1" applyFill="1" applyBorder="1" applyAlignment="1">
      <alignment vertical="center" wrapText="1"/>
    </xf>
    <xf numFmtId="1" fontId="13" fillId="0" borderId="18" xfId="0" applyNumberFormat="1" applyFont="1" applyBorder="1" applyAlignment="1">
      <alignment horizontal="right" vertical="center" wrapText="1"/>
    </xf>
    <xf numFmtId="1" fontId="13" fillId="0" borderId="18" xfId="0" applyNumberFormat="1" applyFont="1" applyBorder="1" applyAlignment="1">
      <alignment vertical="center" wrapText="1"/>
    </xf>
    <xf numFmtId="4" fontId="17" fillId="4" borderId="4" xfId="0" applyNumberFormat="1" applyFont="1" applyFill="1" applyBorder="1" applyAlignment="1">
      <alignment horizontal="center" vertical="center" wrapText="1"/>
    </xf>
    <xf numFmtId="0" fontId="0" fillId="4" borderId="4" xfId="0" applyFill="1" applyBorder="1" applyAlignment="1">
      <alignment horizontal="center" vertical="center" wrapText="1"/>
    </xf>
    <xf numFmtId="0" fontId="16" fillId="10" borderId="5" xfId="0" applyFont="1" applyFill="1" applyBorder="1" applyAlignment="1">
      <alignment horizontal="center" vertical="center" wrapText="1"/>
    </xf>
    <xf numFmtId="0" fontId="13" fillId="11" borderId="4" xfId="0" applyFont="1" applyFill="1" applyBorder="1" applyAlignment="1">
      <alignment horizontal="center" vertical="center"/>
    </xf>
    <xf numFmtId="0" fontId="13" fillId="12" borderId="4" xfId="0" applyFont="1" applyFill="1" applyBorder="1" applyAlignment="1">
      <alignment horizontal="center" vertical="center"/>
    </xf>
    <xf numFmtId="0" fontId="13" fillId="13" borderId="4" xfId="0" applyFont="1" applyFill="1" applyBorder="1" applyAlignment="1">
      <alignment horizontal="center" vertical="center"/>
    </xf>
    <xf numFmtId="0" fontId="16" fillId="0" borderId="6" xfId="0" applyFont="1" applyBorder="1" applyAlignment="1">
      <alignment vertical="center" wrapText="1"/>
    </xf>
    <xf numFmtId="0" fontId="15" fillId="4" borderId="4" xfId="0" applyFont="1" applyFill="1" applyBorder="1" applyAlignment="1">
      <alignment wrapText="1"/>
    </xf>
    <xf numFmtId="164" fontId="23" fillId="4" borderId="6" xfId="206" applyFont="1" applyFill="1" applyBorder="1" applyAlignment="1">
      <alignment vertical="center" wrapText="1"/>
    </xf>
    <xf numFmtId="164" fontId="23" fillId="4" borderId="6" xfId="206" applyFont="1" applyFill="1" applyBorder="1" applyAlignment="1">
      <alignment vertical="center"/>
    </xf>
    <xf numFmtId="0" fontId="23" fillId="5" borderId="5" xfId="0" applyFont="1" applyFill="1" applyBorder="1" applyAlignment="1">
      <alignment vertical="center"/>
    </xf>
    <xf numFmtId="0" fontId="23" fillId="5" borderId="12" xfId="0" applyFont="1" applyFill="1" applyBorder="1" applyAlignment="1">
      <alignment vertical="center"/>
    </xf>
    <xf numFmtId="0" fontId="23" fillId="5" borderId="8" xfId="0" applyFont="1" applyFill="1" applyBorder="1" applyAlignment="1">
      <alignment vertical="center"/>
    </xf>
    <xf numFmtId="0" fontId="23" fillId="5" borderId="9" xfId="0" applyFont="1" applyFill="1" applyBorder="1" applyAlignment="1">
      <alignment vertical="center"/>
    </xf>
    <xf numFmtId="0" fontId="23" fillId="5" borderId="11" xfId="0" applyFont="1" applyFill="1" applyBorder="1" applyAlignment="1">
      <alignment vertical="center"/>
    </xf>
    <xf numFmtId="14" fontId="15" fillId="5" borderId="4" xfId="0" applyNumberFormat="1" applyFont="1" applyFill="1" applyBorder="1" applyAlignment="1">
      <alignment vertical="center"/>
    </xf>
    <xf numFmtId="0" fontId="4" fillId="0" borderId="19"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center" vertical="top" wrapText="1"/>
    </xf>
  </cellXfs>
  <cellStyles count="208">
    <cellStyle name="Normal" xfId="0" builtinId="0"/>
    <cellStyle name="Normal 10" xfId="1" xr:uid="{8BEB88AF-891F-48D0-897C-438DF36CB3FA}"/>
    <cellStyle name="Normal 10 2" xfId="2" xr:uid="{3B303862-F756-4AE0-84AC-6CF51C738F3B}"/>
    <cellStyle name="Normal 10 2 2" xfId="3" xr:uid="{B0CDA8E0-25B4-441A-8571-8C561138EDDD}"/>
    <cellStyle name="Normal 10 2 2 2" xfId="4" xr:uid="{EB7428AB-920D-420F-9733-C14F25BA0763}"/>
    <cellStyle name="Normal 10 2 3" xfId="5" xr:uid="{502AE9E5-222E-4BBE-9CE3-7F16FFF82F6C}"/>
    <cellStyle name="Normal 10 2 3 2" xfId="6" xr:uid="{340B8708-D138-4435-816C-C68A992555E3}"/>
    <cellStyle name="Normal 10 2 4" xfId="7" xr:uid="{AE417DA5-3F8F-451B-A389-428042AA98FE}"/>
    <cellStyle name="Normal 10 3" xfId="8" xr:uid="{649BF097-6BCA-4E72-B494-1F67B22BF35F}"/>
    <cellStyle name="Normal 10 3 2" xfId="9" xr:uid="{DE218FFB-6378-4580-8CDD-278DB73DAB93}"/>
    <cellStyle name="Normal 10 3 2 2" xfId="10" xr:uid="{BE1DEFB6-2CC2-4970-8205-FB9201AB29B5}"/>
    <cellStyle name="Normal 10 3 3" xfId="11" xr:uid="{B65B4AE8-DB17-4FA6-A637-17C605647B71}"/>
    <cellStyle name="Normal 10 4" xfId="12" xr:uid="{439BF780-B9F1-4C8A-BC55-9213D4FE3FB6}"/>
    <cellStyle name="Normal 10 4 2" xfId="13" xr:uid="{995B598E-A7B8-4E17-B3ED-C8E14467F2B9}"/>
    <cellStyle name="Normal 10 5" xfId="14" xr:uid="{1647DDA7-5D37-4FBE-AD63-72E405B88A23}"/>
    <cellStyle name="Normal 2" xfId="15" xr:uid="{3B348C48-207A-45E1-B6C8-78B6CC8A5B99}"/>
    <cellStyle name="Normal 2 10" xfId="16" xr:uid="{4E9F2FB8-78B6-4F63-B383-1245A634DA8B}"/>
    <cellStyle name="Normal 2 2" xfId="17" xr:uid="{D9643786-E952-4503-A484-BB03BDD26EDC}"/>
    <cellStyle name="Normal 2 3" xfId="18" xr:uid="{A3832997-0C56-4D0E-A31B-77CDAFEBF525}"/>
    <cellStyle name="Normal 2 3 2" xfId="19" xr:uid="{1287933D-B933-452E-B71B-668330905BC3}"/>
    <cellStyle name="Normal 2 3 2 2" xfId="20" xr:uid="{9E092EE0-D7B6-4EDB-8010-972FD746A2E1}"/>
    <cellStyle name="Normal 2 3 2 2 2" xfId="21" xr:uid="{D4186D83-FC26-42D1-9423-8C2BD611AE9E}"/>
    <cellStyle name="Normal 2 3 2 2 2 2" xfId="22" xr:uid="{F6D0AD4F-14A7-4D94-AD17-E1088D8F8392}"/>
    <cellStyle name="Normal 2 3 2 2 2 2 2" xfId="23" xr:uid="{1F60564D-5A11-482C-9E7E-C9658815DE59}"/>
    <cellStyle name="Normal 2 3 2 2 2 3" xfId="24" xr:uid="{C0CE23D6-3C9F-4284-9AA7-75A7298A2C8A}"/>
    <cellStyle name="Normal 2 3 2 2 3" xfId="25" xr:uid="{84AAB2FA-B48B-423C-BEB1-98D2C7400C2E}"/>
    <cellStyle name="Normal 2 3 2 2 3 2" xfId="26" xr:uid="{05DAD90F-962B-4283-9234-6FC41D3C4E82}"/>
    <cellStyle name="Normal 2 3 2 2 4" xfId="27" xr:uid="{4547BB26-7BE8-48C3-A78B-525E203B1E30}"/>
    <cellStyle name="Normal 2 3 2 2 4 2" xfId="28" xr:uid="{A603AA22-B194-47C7-92AA-07A63E1A99A1}"/>
    <cellStyle name="Normal 2 3 2 2 5" xfId="29" xr:uid="{71852E19-7A5B-43E7-9B16-067E54D69436}"/>
    <cellStyle name="Normal 2 3 2 3" xfId="30" xr:uid="{8CA85D5C-9C1A-4B8A-BD89-1AE4038A9156}"/>
    <cellStyle name="Normal 2 3 2 3 2" xfId="31" xr:uid="{4A77C9EF-1787-403B-889E-F53754171E37}"/>
    <cellStyle name="Normal 2 3 2 3 2 2" xfId="32" xr:uid="{773DA81F-2231-4B0B-A330-E7E7D103371A}"/>
    <cellStyle name="Normal 2 3 2 3 3" xfId="33" xr:uid="{06F1105D-AA55-4F38-B710-0C794049E056}"/>
    <cellStyle name="Normal 2 3 2 4" xfId="34" xr:uid="{97E1A7E7-2C16-473B-B792-7308103D2A0C}"/>
    <cellStyle name="Normal 2 3 2 4 2" xfId="35" xr:uid="{C4DE13EC-AB30-42B7-9FB7-ECD201F954E2}"/>
    <cellStyle name="Normal 2 3 2 5" xfId="36" xr:uid="{9081479D-0191-427E-88B9-1D7A5809CB8C}"/>
    <cellStyle name="Normal 2 3 2 5 2" xfId="37" xr:uid="{A1DA2342-EA39-4ECF-97F5-ECC5B0533240}"/>
    <cellStyle name="Normal 2 3 2 6" xfId="38" xr:uid="{69B45D04-9743-4D95-A3FD-13245CAC3F30}"/>
    <cellStyle name="Normal 2 3 3" xfId="39" xr:uid="{6B9B551D-5715-4AC5-A1F1-FF4B76688F21}"/>
    <cellStyle name="Normal 2 3 3 2" xfId="40" xr:uid="{70C87D9B-73FE-476F-82CC-CE19A7466B23}"/>
    <cellStyle name="Normal 2 3 3 2 2" xfId="41" xr:uid="{42651D33-8820-4493-A0C5-616B1C73B5D8}"/>
    <cellStyle name="Normal 2 3 3 2 2 2" xfId="42" xr:uid="{386C4EBA-C06A-4811-89D0-A70EC547DF30}"/>
    <cellStyle name="Normal 2 3 3 2 2 2 2" xfId="43" xr:uid="{5BB4B8B9-DDB0-4544-8550-466682F7F00A}"/>
    <cellStyle name="Normal 2 3 3 2 2 3" xfId="44" xr:uid="{3E54AF4E-7FC7-4FF5-8D74-CDC942CA628A}"/>
    <cellStyle name="Normal 2 3 3 2 3" xfId="45" xr:uid="{F7B6C293-7D3E-4275-A215-D36C925A12B8}"/>
    <cellStyle name="Normal 2 3 3 2 3 2" xfId="46" xr:uid="{544526D9-4B0F-43E3-88F5-FB7F6E8C0A00}"/>
    <cellStyle name="Normal 2 3 3 2 4" xfId="47" xr:uid="{898FF2E8-C4DA-4DD4-A1C7-C3253F855EF1}"/>
    <cellStyle name="Normal 2 3 3 2 4 2" xfId="48" xr:uid="{8485771C-9F11-4E7A-8E45-996CB15A762D}"/>
    <cellStyle name="Normal 2 3 3 2 5" xfId="49" xr:uid="{7B8BB656-D24C-47CE-97C2-2EA0392CA33A}"/>
    <cellStyle name="Normal 2 3 3 3" xfId="50" xr:uid="{B691D3BD-7847-47F0-AC54-39D708647AF6}"/>
    <cellStyle name="Normal 2 3 3 3 2" xfId="51" xr:uid="{A27EB868-F436-4129-BE10-A2203C6A2B25}"/>
    <cellStyle name="Normal 2 3 3 3 2 2" xfId="52" xr:uid="{6B62B5B7-A523-448B-B359-7360899D8AEE}"/>
    <cellStyle name="Normal 2 3 3 3 3" xfId="53" xr:uid="{1B339B4A-7ABF-4A55-B6B0-F81301C8F06B}"/>
    <cellStyle name="Normal 2 3 3 4" xfId="54" xr:uid="{5A091224-7D63-4F29-9360-253C2585AA2B}"/>
    <cellStyle name="Normal 2 3 3 4 2" xfId="55" xr:uid="{5C34B41B-3C2C-4B96-95B5-B9027D7104E9}"/>
    <cellStyle name="Normal 2 3 3 5" xfId="56" xr:uid="{DC651B17-8217-4799-853F-8989FE4E4BE9}"/>
    <cellStyle name="Normal 2 3 3 5 2" xfId="57" xr:uid="{2AE86E4E-CC34-4F52-8E8A-13CF3D8D301C}"/>
    <cellStyle name="Normal 2 3 3 6" xfId="58" xr:uid="{8DC1DBC1-1B3D-40A3-9549-D8969A37DC8D}"/>
    <cellStyle name="Normal 2 3 4" xfId="59" xr:uid="{FE9EBABB-1307-4BC9-BF7F-00486F696D47}"/>
    <cellStyle name="Normal 2 3 4 2" xfId="60" xr:uid="{E412F135-A4FC-4775-9EFF-A1D708460518}"/>
    <cellStyle name="Normal 2 3 4 2 2" xfId="61" xr:uid="{80612ED6-0820-4D2C-BDED-3462FB423A3D}"/>
    <cellStyle name="Normal 2 3 4 2 2 2" xfId="62" xr:uid="{C773164D-B9E7-471D-BB4B-2E78E29EA7BC}"/>
    <cellStyle name="Normal 2 3 4 2 3" xfId="63" xr:uid="{5557202B-4ABE-4CCA-A2A0-9B118493C9F2}"/>
    <cellStyle name="Normal 2 3 4 3" xfId="64" xr:uid="{42277BB3-99A5-4EBB-98DA-6D0B6FB97F82}"/>
    <cellStyle name="Normal 2 3 4 3 2" xfId="65" xr:uid="{B93883DF-E7A1-44D6-83B1-0777B1AAB376}"/>
    <cellStyle name="Normal 2 3 4 4" xfId="66" xr:uid="{8979A76E-CBC3-414E-997F-8D223DE0BA2C}"/>
    <cellStyle name="Normal 2 3 4 4 2" xfId="67" xr:uid="{14F93F36-81D4-4893-983E-7218BF70C58D}"/>
    <cellStyle name="Normal 2 3 4 5" xfId="68" xr:uid="{3C91ADE8-AF5F-4413-B78C-C858FDF5749C}"/>
    <cellStyle name="Normal 2 3 5" xfId="69" xr:uid="{3CD729A1-802C-4C8A-9426-5988880B4458}"/>
    <cellStyle name="Normal 2 3 5 2" xfId="70" xr:uid="{B2FB96E6-F22C-4919-A722-B3886856C2C2}"/>
    <cellStyle name="Normal 2 3 5 2 2" xfId="71" xr:uid="{7BE889C2-9A05-47F1-9DC0-31FBD2E5C6AB}"/>
    <cellStyle name="Normal 2 3 5 3" xfId="72" xr:uid="{3BE9E10B-F666-4495-B6C6-FE2D9529EA6D}"/>
    <cellStyle name="Normal 2 3 6" xfId="73" xr:uid="{2B208B92-A1D7-4941-9714-902938C15273}"/>
    <cellStyle name="Normal 2 3 6 2" xfId="74" xr:uid="{CE3C4579-AD4F-4959-8AF5-388A59DCBA7B}"/>
    <cellStyle name="Normal 2 3 7" xfId="75" xr:uid="{07419706-2739-46C0-8687-CEFFB37DB70E}"/>
    <cellStyle name="Normal 2 3 7 2" xfId="76" xr:uid="{825EE8CF-E6D2-42E8-B70E-13FA000468D0}"/>
    <cellStyle name="Normal 2 3 8" xfId="77" xr:uid="{1C274999-A0A1-4D86-B9FA-68BECBDABD8E}"/>
    <cellStyle name="Normal 2 4" xfId="78" xr:uid="{D4EAD0C1-A323-456B-BF72-3D1BCFAA89CF}"/>
    <cellStyle name="Normal 2 4 2" xfId="79" xr:uid="{C7279D83-44DF-441D-984C-6EDA8CA3DF76}"/>
    <cellStyle name="Normal 2 4 2 2" xfId="80" xr:uid="{258390B4-8B5C-47D8-A767-A62DBA88E2F0}"/>
    <cellStyle name="Normal 2 4 2 2 2" xfId="81" xr:uid="{0A71C1D9-80AE-4C13-A2FB-839A8DF30D8E}"/>
    <cellStyle name="Normal 2 4 2 2 2 2" xfId="82" xr:uid="{41956FAA-689D-43A1-8CB1-B50482F7AE14}"/>
    <cellStyle name="Normal 2 4 2 2 3" xfId="83" xr:uid="{19544AEC-B82E-414F-B321-28587D6E51A8}"/>
    <cellStyle name="Normal 2 4 2 3" xfId="84" xr:uid="{3FF6224A-95C4-4832-943F-3227100A4C99}"/>
    <cellStyle name="Normal 2 4 2 3 2" xfId="85" xr:uid="{56AB3504-D906-41A8-A60B-659D0C7FEDBB}"/>
    <cellStyle name="Normal 2 4 2 4" xfId="86" xr:uid="{70FB8139-C88E-4E6F-BC15-767E2BE156F3}"/>
    <cellStyle name="Normal 2 4 2 4 2" xfId="87" xr:uid="{4D9BE962-3433-4388-87DB-A27D0859155D}"/>
    <cellStyle name="Normal 2 4 2 5" xfId="88" xr:uid="{9F25104E-C2DE-442E-A183-42B5CCA0930B}"/>
    <cellStyle name="Normal 2 4 3" xfId="89" xr:uid="{6FC098C7-391C-44A5-A2C3-C11AA090BE41}"/>
    <cellStyle name="Normal 2 4 3 2" xfId="90" xr:uid="{BEED242C-6015-4BDA-BE65-6AAD7D174C4D}"/>
    <cellStyle name="Normal 2 4 3 2 2" xfId="91" xr:uid="{5CA200A6-DE02-4A02-BA15-F41B092AB898}"/>
    <cellStyle name="Normal 2 4 3 3" xfId="92" xr:uid="{31F4AFE5-FDDF-46C2-AB35-B0F46F9E1ADB}"/>
    <cellStyle name="Normal 2 4 4" xfId="93" xr:uid="{C881C97E-28AD-4A15-9AE9-2083176CC871}"/>
    <cellStyle name="Normal 2 4 4 2" xfId="94" xr:uid="{871B28ED-2DFA-4E71-A2DF-E92BD24866F7}"/>
    <cellStyle name="Normal 2 4 5" xfId="95" xr:uid="{8BD7F103-B6B6-4AB6-9332-9C6C413D6D97}"/>
    <cellStyle name="Normal 2 4 5 2" xfId="96" xr:uid="{0C2A0981-6CBB-4CF2-A410-C73559A659FA}"/>
    <cellStyle name="Normal 2 4 6" xfId="97" xr:uid="{B0CEBEF1-1C6F-4CE3-A71F-17C334FB434E}"/>
    <cellStyle name="Normal 2 5" xfId="98" xr:uid="{81E3F226-B6EB-4845-B46E-FEB9871EB60D}"/>
    <cellStyle name="Normal 2 5 2" xfId="99" xr:uid="{471D85E6-83AE-483F-A5E4-843D6212AD66}"/>
    <cellStyle name="Normal 2 5 2 2" xfId="100" xr:uid="{6B88562C-594D-4594-A64D-B45A3E53CDA6}"/>
    <cellStyle name="Normal 2 5 2 2 2" xfId="101" xr:uid="{76A77AD7-93BC-4592-A5CF-45472DBBAA19}"/>
    <cellStyle name="Normal 2 5 2 2 2 2" xfId="102" xr:uid="{841B1943-EF7F-4D87-8FDC-4B9931EEB40C}"/>
    <cellStyle name="Normal 2 5 2 2 3" xfId="103" xr:uid="{C9FBAB97-E5CE-4105-A7E9-2699C983A39E}"/>
    <cellStyle name="Normal 2 5 2 3" xfId="104" xr:uid="{E716118A-B4EA-4C2E-9F60-813A481BE3B2}"/>
    <cellStyle name="Normal 2 5 2 3 2" xfId="105" xr:uid="{AEBDB550-1E63-4D83-93E7-615CBD58B265}"/>
    <cellStyle name="Normal 2 5 2 4" xfId="106" xr:uid="{D6346E0C-502C-45E2-B6D5-14693C5FB743}"/>
    <cellStyle name="Normal 2 5 2 4 2" xfId="107" xr:uid="{6A364404-2100-4073-BBC6-55C1500CE6A7}"/>
    <cellStyle name="Normal 2 5 2 5" xfId="108" xr:uid="{AF336B5A-EF10-4FDA-8C9A-27F426A15380}"/>
    <cellStyle name="Normal 2 5 3" xfId="109" xr:uid="{CE7FE952-2208-4BAE-8622-465263C6EDD9}"/>
    <cellStyle name="Normal 2 5 3 2" xfId="110" xr:uid="{FBD22E60-BA34-4234-8F04-6E2F92CC3814}"/>
    <cellStyle name="Normal 2 5 3 2 2" xfId="111" xr:uid="{7AC6B36B-9A26-483B-9732-46BA705C767F}"/>
    <cellStyle name="Normal 2 5 3 3" xfId="112" xr:uid="{AF177463-1289-4A82-A26C-0669A54C808B}"/>
    <cellStyle name="Normal 2 5 4" xfId="113" xr:uid="{63F05930-B73F-4CAC-A388-669848413170}"/>
    <cellStyle name="Normal 2 5 4 2" xfId="114" xr:uid="{342EA26D-1818-4492-8E31-763071847BB9}"/>
    <cellStyle name="Normal 2 5 5" xfId="115" xr:uid="{FCD38BA5-B4FC-409C-A92A-CBEF972119BE}"/>
    <cellStyle name="Normal 2 5 5 2" xfId="116" xr:uid="{759A82D2-3EEB-482F-BA50-29055F7CD852}"/>
    <cellStyle name="Normal 2 5 6" xfId="117" xr:uid="{855A292B-D791-4E9A-B651-C6777D7AA78C}"/>
    <cellStyle name="Normal 2 6" xfId="118" xr:uid="{899C3EE7-A5AE-482A-84CE-AAB850EC0D80}"/>
    <cellStyle name="Normal 2 6 2" xfId="119" xr:uid="{BB0D252F-5850-420B-8B8B-2DF1DC1EFD39}"/>
    <cellStyle name="Normal 2 6 2 2" xfId="120" xr:uid="{69354FCC-523D-45B8-B442-F4C0C267A7AB}"/>
    <cellStyle name="Normal 2 6 2 2 2" xfId="121" xr:uid="{57259EA2-DDE0-43D9-9050-0FB6E3274C33}"/>
    <cellStyle name="Normal 2 6 2 3" xfId="122" xr:uid="{C8D42A6A-BA7B-4BBA-90E4-9DE9E341725A}"/>
    <cellStyle name="Normal 2 6 3" xfId="123" xr:uid="{85F772C1-D10F-4557-9720-5154F1DC95D5}"/>
    <cellStyle name="Normal 2 6 3 2" xfId="124" xr:uid="{4E16F8BF-FAFE-4C62-B1CC-52ED7BACE073}"/>
    <cellStyle name="Normal 2 6 4" xfId="125" xr:uid="{16506A41-60A9-4BE2-B6C1-E293E07523B0}"/>
    <cellStyle name="Normal 2 6 4 2" xfId="126" xr:uid="{886A655F-41AD-4605-A7FF-BD89CC87EAEA}"/>
    <cellStyle name="Normal 2 6 5" xfId="127" xr:uid="{292B3A51-621C-4A81-A4E3-2074F1537F6B}"/>
    <cellStyle name="Normal 2 7" xfId="128" xr:uid="{3F7F4F6C-6A17-4149-91E6-DCE5C43CDA02}"/>
    <cellStyle name="Normal 2 7 2" xfId="129" xr:uid="{D1EA2EE5-6C72-4BAD-ACBB-F950679B6C1A}"/>
    <cellStyle name="Normal 2 7 2 2" xfId="130" xr:uid="{37595E3B-2227-4424-82B3-74E8C4A50644}"/>
    <cellStyle name="Normal 2 7 3" xfId="131" xr:uid="{50C16832-C82A-48D5-B86C-9C47A46AFCF8}"/>
    <cellStyle name="Normal 2 8" xfId="132" xr:uid="{54F26F5B-31D1-461F-8455-D76958D7CEFB}"/>
    <cellStyle name="Normal 2 8 2" xfId="133" xr:uid="{3A5BCE85-4560-492A-8CD5-E2EA44A546F6}"/>
    <cellStyle name="Normal 2 9" xfId="134" xr:uid="{E468039F-D93A-4A0D-90D1-46E6BF5E3D86}"/>
    <cellStyle name="Normal 2 9 2" xfId="135" xr:uid="{C235886F-98E1-4171-AB2A-1210998B7475}"/>
    <cellStyle name="Normal 4" xfId="136" xr:uid="{0F70891C-F38C-4E42-810F-7CAFD69074AA}"/>
    <cellStyle name="Normal 4 2" xfId="137" xr:uid="{C696954F-4973-44CB-8134-C1EAB1E6DEC4}"/>
    <cellStyle name="Normal 4 2 2" xfId="138" xr:uid="{1647D88F-8A47-41F8-984C-B1675B636F96}"/>
    <cellStyle name="Normal 4 2 2 2" xfId="139" xr:uid="{FAD18EB9-6955-4B3D-9060-D82F3F38EBB6}"/>
    <cellStyle name="Normal 4 2 3" xfId="140" xr:uid="{F2F3ADB9-4116-40B5-9B8B-15B4DCBD138C}"/>
    <cellStyle name="Normal 4 2 3 2" xfId="141" xr:uid="{D472D24D-F8D2-496F-AF54-81D2C9F136FC}"/>
    <cellStyle name="Normal 4 2 4" xfId="142" xr:uid="{CAA7A00E-EBE9-4404-B167-1F3FFB838581}"/>
    <cellStyle name="Normal 4 3" xfId="143" xr:uid="{540A0ED6-72FB-4148-86D1-E76156623CAF}"/>
    <cellStyle name="Normal 4 3 2" xfId="144" xr:uid="{F0F24C75-B21C-46FD-9767-0E5CF5008EFD}"/>
    <cellStyle name="Normal 4 3 2 2" xfId="145" xr:uid="{5532B56C-ADC3-4B3D-B222-C338D1DC7736}"/>
    <cellStyle name="Normal 4 3 3" xfId="146" xr:uid="{9A19035D-6E66-48B7-9ED2-493716836902}"/>
    <cellStyle name="Normal 4 4" xfId="147" xr:uid="{809A3D15-0B4E-4A6F-8DC0-A3DD1F1A6D56}"/>
    <cellStyle name="Normal 4 4 2" xfId="148" xr:uid="{D74339F0-0508-4345-BE11-2378B86F9E0E}"/>
    <cellStyle name="Normal 4 5" xfId="149" xr:uid="{E56C8F3B-00C8-42C3-8B04-BFF7DDD8499E}"/>
    <cellStyle name="Normal 6" xfId="150" xr:uid="{6DDEFF10-F1A6-48A6-B639-726B0BD74D55}"/>
    <cellStyle name="Normal 6 2" xfId="151" xr:uid="{57F22ED9-9AC5-448C-AD61-F5C5061E70EE}"/>
    <cellStyle name="Normal 6 2 2" xfId="152" xr:uid="{2761DB73-B481-45E3-81DF-F88F8433E3A3}"/>
    <cellStyle name="Normal 6 2 2 2" xfId="153" xr:uid="{55613ED3-0169-4862-BF25-86649CEF263F}"/>
    <cellStyle name="Normal 6 2 3" xfId="154" xr:uid="{1D489C11-53E5-4020-ACE2-EA713137E368}"/>
    <cellStyle name="Normal 6 2 3 2" xfId="155" xr:uid="{38F84D79-FAB3-4128-9257-88E237BBA120}"/>
    <cellStyle name="Normal 6 2 4" xfId="156" xr:uid="{8E868428-FF13-49F9-B7A6-9007D0A0DFEF}"/>
    <cellStyle name="Normal 6 3" xfId="157" xr:uid="{EFE9BC90-3BA9-4D9E-ACFA-D148C18AEB5D}"/>
    <cellStyle name="Normal 6 3 2" xfId="158" xr:uid="{EAD71089-C801-43D3-B724-2BBC7F5F8043}"/>
    <cellStyle name="Normal 6 3 2 2" xfId="159" xr:uid="{60776A3A-8089-40F6-9B19-2FA5C12D90C1}"/>
    <cellStyle name="Normal 6 3 3" xfId="160" xr:uid="{F49F3C15-662A-4B5A-B551-9573410092C1}"/>
    <cellStyle name="Normal 6 4" xfId="161" xr:uid="{EE41B1A8-9EEA-4283-AE18-86872139BC79}"/>
    <cellStyle name="Normal 6 4 2" xfId="162" xr:uid="{ED44B280-A54E-45C1-A61A-ED5F58F8659D}"/>
    <cellStyle name="Normal 6 5" xfId="163" xr:uid="{0FF7A3C8-7539-4F38-8142-8A4CC41A4735}"/>
    <cellStyle name="Normal 7" xfId="164" xr:uid="{F3276FF3-DC18-48A4-86F8-D2216C160FA1}"/>
    <cellStyle name="Normal 7 2" xfId="165" xr:uid="{A8E757F5-A38B-44C1-9A71-0E8183DEF113}"/>
    <cellStyle name="Normal 7 2 2" xfId="166" xr:uid="{59485768-050B-4295-94D1-285E57AB83D1}"/>
    <cellStyle name="Normal 7 2 2 2" xfId="167" xr:uid="{A508A0C9-28A7-4310-9C34-9E50E7EBC764}"/>
    <cellStyle name="Normal 7 2 3" xfId="168" xr:uid="{DACC294D-2A12-42C5-A717-FC6B04AF7C23}"/>
    <cellStyle name="Normal 7 2 3 2" xfId="169" xr:uid="{E98C954C-C071-476D-94B9-CDE636459B57}"/>
    <cellStyle name="Normal 7 2 4" xfId="170" xr:uid="{95149B19-10E7-4D4A-9AD2-CBDDEA7D63DF}"/>
    <cellStyle name="Normal 7 3" xfId="171" xr:uid="{078751CF-EA70-467F-8BA3-BEA88B82CF43}"/>
    <cellStyle name="Normal 7 3 2" xfId="172" xr:uid="{4D3A90A4-8A42-4D11-99A9-C3F584AC9CCA}"/>
    <cellStyle name="Normal 7 3 2 2" xfId="173" xr:uid="{5F2D61A5-17BA-444C-8DA1-DA8C7C6DBE7C}"/>
    <cellStyle name="Normal 7 3 3" xfId="174" xr:uid="{6B2DD167-199C-4DDC-9D72-77CB30D9BCE3}"/>
    <cellStyle name="Normal 7 4" xfId="175" xr:uid="{5E69DF6F-59CA-425A-ACAA-2B1A801B1DC5}"/>
    <cellStyle name="Normal 7 4 2" xfId="176" xr:uid="{FE48C7AA-792D-4F62-9690-7152ABF1E0AC}"/>
    <cellStyle name="Normal 7 5" xfId="177" xr:uid="{B1D8FAD3-B70E-40C7-8F20-AFC6A9491020}"/>
    <cellStyle name="Normal 8" xfId="178" xr:uid="{EFE0FBBD-C81D-4E3B-B9D4-6B4DE3F4B93A}"/>
    <cellStyle name="Normal 8 2" xfId="179" xr:uid="{B5E6F8E3-0883-4BB1-85E4-D2A3E0748B15}"/>
    <cellStyle name="Normal 8 2 2" xfId="180" xr:uid="{AFFF94B0-F4FC-4225-A78F-0D535E4A239F}"/>
    <cellStyle name="Normal 8 2 2 2" xfId="181" xr:uid="{F801D34F-78FB-479F-A3EF-B2769B68D013}"/>
    <cellStyle name="Normal 8 2 3" xfId="182" xr:uid="{DA51E3BA-0FF1-428E-A61D-4D9FE9CE5437}"/>
    <cellStyle name="Normal 8 2 3 2" xfId="183" xr:uid="{459C55FB-7878-45B5-BA2E-9DFF0DEAF282}"/>
    <cellStyle name="Normal 8 2 4" xfId="184" xr:uid="{6ABF0B73-B61C-489F-A62E-AABDB284CF3C}"/>
    <cellStyle name="Normal 8 3" xfId="185" xr:uid="{E4C1016E-9BA4-4385-B4C0-49BE86AA024D}"/>
    <cellStyle name="Normal 8 3 2" xfId="186" xr:uid="{02561E87-6A6A-4CE2-9593-C6CE74DBC643}"/>
    <cellStyle name="Normal 8 3 2 2" xfId="187" xr:uid="{FAAAD3AA-6B09-4F3A-9C3A-ED67DE707DEB}"/>
    <cellStyle name="Normal 8 3 3" xfId="188" xr:uid="{5365C4CE-D27F-462A-8A6A-E492F1FF4771}"/>
    <cellStyle name="Normal 8 4" xfId="189" xr:uid="{33D77BE3-E7B0-4FF2-9402-5FD15257C6AF}"/>
    <cellStyle name="Normal 8 4 2" xfId="190" xr:uid="{DD5577F3-5C56-429A-9E71-00614F2D64C2}"/>
    <cellStyle name="Normal 8 5" xfId="191" xr:uid="{3FEB4E99-C5E3-4D5F-B365-8D481260DEAF}"/>
    <cellStyle name="Normal 9" xfId="192" xr:uid="{5018380C-423D-4FD9-BD58-303BB749BDAB}"/>
    <cellStyle name="Normal 9 2" xfId="193" xr:uid="{B6824059-8652-4375-B69F-CF533FF1441E}"/>
    <cellStyle name="Normal 9 2 2" xfId="194" xr:uid="{0C04C614-9EC7-4EFE-9B66-25BC9B5968CE}"/>
    <cellStyle name="Normal 9 2 2 2" xfId="195" xr:uid="{717ED6A1-E0FA-4D72-8AA5-F7F42D5AA0C2}"/>
    <cellStyle name="Normal 9 2 3" xfId="196" xr:uid="{35DA2387-9F51-4EAE-97C4-D5C2120632E2}"/>
    <cellStyle name="Normal 9 2 3 2" xfId="197" xr:uid="{1DA2551C-2C43-4A44-9BDC-D9A0EF6A3072}"/>
    <cellStyle name="Normal 9 2 4" xfId="198" xr:uid="{0ECF538A-F324-4A38-8E37-778E10F45B9C}"/>
    <cellStyle name="Normal 9 3" xfId="199" xr:uid="{D522FBF0-A9F2-40CE-8FE4-3306E6B33A5A}"/>
    <cellStyle name="Normal 9 3 2" xfId="200" xr:uid="{3F78B61D-C7C4-4EE7-8DEC-DBA857C1B658}"/>
    <cellStyle name="Normal 9 3 2 2" xfId="201" xr:uid="{0866B34E-565F-4BA3-A184-67B8A07BCCAA}"/>
    <cellStyle name="Normal 9 3 3" xfId="202" xr:uid="{0FD75068-7363-49D4-8B65-251E064862ED}"/>
    <cellStyle name="Normal 9 4" xfId="203" xr:uid="{5B2E5D56-9CF1-406F-A9D2-34C8F8CE152D}"/>
    <cellStyle name="Normal 9 4 2" xfId="204" xr:uid="{65BF7053-5540-4A07-B95B-6682E0620E5D}"/>
    <cellStyle name="Normal 9 5" xfId="205" xr:uid="{D0AEABF4-7735-4138-83B6-831D0C343A73}"/>
    <cellStyle name="Virgül" xfId="206" builtinId="3"/>
    <cellStyle name="Virgül 2" xfId="207" xr:uid="{07372894-047D-4A2B-B3DE-CB29F2A2FFF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11</xdr:col>
      <xdr:colOff>133350</xdr:colOff>
      <xdr:row>3</xdr:row>
      <xdr:rowOff>0</xdr:rowOff>
    </xdr:to>
    <xdr:sp macro="" textlink="">
      <xdr:nvSpPr>
        <xdr:cNvPr id="2" name="Text Box 4">
          <a:extLst>
            <a:ext uri="{FF2B5EF4-FFF2-40B4-BE49-F238E27FC236}">
              <a16:creationId xmlns:a16="http://schemas.microsoft.com/office/drawing/2014/main" id="{087AB7B0-292E-AD96-433B-B62B17F9E060}"/>
            </a:ext>
          </a:extLst>
        </xdr:cNvPr>
        <xdr:cNvSpPr txBox="1">
          <a:spLocks noChangeArrowheads="1"/>
        </xdr:cNvSpPr>
      </xdr:nvSpPr>
      <xdr:spPr bwMode="auto">
        <a:xfrm>
          <a:off x="8477250" y="4619625"/>
          <a:ext cx="2552700"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tr-TR" sz="1000" b="0" i="0" strike="noStrike">
              <a:solidFill>
                <a:srgbClr val="000000"/>
              </a:solidFill>
              <a:latin typeface="Arial"/>
              <a:cs typeface="Arial"/>
            </a:rPr>
            <a:t>NEW CRUDE OIL PRODUCTION PLANT EQUIPMENT WITH ENGINEERING DOCUMANTATION WITH A SUNFLOWER SEED TREATMENT CAPACITY OF 450 TONS PER 24 HOURS OR RAPE SEED CAPACITY OF 330 TONS PER 24 HOURS.</a:t>
          </a:r>
        </a:p>
        <a:p>
          <a:pPr algn="l" rtl="1">
            <a:defRPr sz="1000"/>
          </a:pPr>
          <a:r>
            <a:rPr lang="tr-TR" sz="1000" b="0" i="0" strike="noStrike">
              <a:solidFill>
                <a:srgbClr val="000000"/>
              </a:solidFill>
              <a:latin typeface="Arial"/>
              <a:cs typeface="Arial"/>
            </a:rPr>
            <a:t>SALES AND PURCHASE AGREEMENT OF THE LURGI CRUSHING PLANT EQUIPMENT NO.C1741-0507, 18TH MAY, 2007.</a:t>
          </a:r>
        </a:p>
        <a:p>
          <a:pPr algn="l" rtl="1">
            <a:defRPr sz="1000"/>
          </a:pPr>
          <a:endParaRPr lang="tr-TR" sz="10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xdr:txBody>
    </xdr:sp>
    <xdr:clientData/>
  </xdr:twoCellAnchor>
  <xdr:twoCellAnchor>
    <xdr:from>
      <xdr:col>8</xdr:col>
      <xdr:colOff>0</xdr:colOff>
      <xdr:row>24</xdr:row>
      <xdr:rowOff>0</xdr:rowOff>
    </xdr:from>
    <xdr:to>
      <xdr:col>11</xdr:col>
      <xdr:colOff>133350</xdr:colOff>
      <xdr:row>24</xdr:row>
      <xdr:rowOff>0</xdr:rowOff>
    </xdr:to>
    <xdr:sp macro="" textlink="">
      <xdr:nvSpPr>
        <xdr:cNvPr id="3" name="Text Box 4">
          <a:extLst>
            <a:ext uri="{FF2B5EF4-FFF2-40B4-BE49-F238E27FC236}">
              <a16:creationId xmlns:a16="http://schemas.microsoft.com/office/drawing/2014/main" id="{3BBF8E94-C7F9-12DC-8771-96876417A237}"/>
            </a:ext>
          </a:extLst>
        </xdr:cNvPr>
        <xdr:cNvSpPr txBox="1">
          <a:spLocks noChangeArrowheads="1"/>
        </xdr:cNvSpPr>
      </xdr:nvSpPr>
      <xdr:spPr bwMode="auto">
        <a:xfrm>
          <a:off x="7648575" y="4210050"/>
          <a:ext cx="2562225"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tr-TR" sz="1000" b="0" i="0" strike="noStrike">
              <a:solidFill>
                <a:srgbClr val="000000"/>
              </a:solidFill>
              <a:latin typeface="Arial"/>
              <a:cs typeface="Arial"/>
            </a:rPr>
            <a:t>NEW CRUDE OIL PRODUCTION PLANT EQUIPMENT WITH ENGINEERING DOCUMANTATION WITH A SUNFLOWER SEED TREATMENT CAPACITY OF 450 TONS PER 24 HOURS OR RAPE SEED CAPACITY OF 330 TONS PER 24 HOURS.</a:t>
          </a:r>
        </a:p>
        <a:p>
          <a:pPr algn="l" rtl="1">
            <a:defRPr sz="1000"/>
          </a:pPr>
          <a:r>
            <a:rPr lang="tr-TR" sz="1000" b="0" i="0" strike="noStrike">
              <a:solidFill>
                <a:srgbClr val="000000"/>
              </a:solidFill>
              <a:latin typeface="Arial"/>
              <a:cs typeface="Arial"/>
            </a:rPr>
            <a:t>SALES AND PURCHASE AGREEMENT OF THE LURGI CRUSHING PLANT EQUIPMENT NO.C1741-0507, 18TH MAY, 2007.</a:t>
          </a:r>
        </a:p>
        <a:p>
          <a:pPr algn="l" rtl="1">
            <a:defRPr sz="1000"/>
          </a:pPr>
          <a:endParaRPr lang="tr-TR" sz="10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xdr:txBody>
    </xdr:sp>
    <xdr:clientData/>
  </xdr:twoCellAnchor>
  <xdr:twoCellAnchor>
    <xdr:from>
      <xdr:col>8</xdr:col>
      <xdr:colOff>0</xdr:colOff>
      <xdr:row>24</xdr:row>
      <xdr:rowOff>0</xdr:rowOff>
    </xdr:from>
    <xdr:to>
      <xdr:col>11</xdr:col>
      <xdr:colOff>133350</xdr:colOff>
      <xdr:row>24</xdr:row>
      <xdr:rowOff>0</xdr:rowOff>
    </xdr:to>
    <xdr:sp macro="" textlink="">
      <xdr:nvSpPr>
        <xdr:cNvPr id="4" name="Text Box 4">
          <a:extLst>
            <a:ext uri="{FF2B5EF4-FFF2-40B4-BE49-F238E27FC236}">
              <a16:creationId xmlns:a16="http://schemas.microsoft.com/office/drawing/2014/main" id="{4C745F4F-ED1A-10A2-2A9D-FE68FB43BD5A}"/>
            </a:ext>
          </a:extLst>
        </xdr:cNvPr>
        <xdr:cNvSpPr txBox="1">
          <a:spLocks noChangeArrowheads="1"/>
        </xdr:cNvSpPr>
      </xdr:nvSpPr>
      <xdr:spPr bwMode="auto">
        <a:xfrm>
          <a:off x="7648575" y="4210050"/>
          <a:ext cx="2562225"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tr-TR" sz="1000" b="0" i="0" strike="noStrike">
              <a:solidFill>
                <a:srgbClr val="000000"/>
              </a:solidFill>
              <a:latin typeface="Arial"/>
              <a:cs typeface="Arial"/>
            </a:rPr>
            <a:t>NEW CRUDE OIL PRODUCTION PLANT EQUIPMENT WITH ENGINEERING DOCUMANTATION WITH A SUNFLOWER SEED TREATMENT CAPACITY OF 450 TONS PER 24 HOURS OR RAPE SEED CAPACITY OF 330 TONS PER 24 HOURS.</a:t>
          </a:r>
        </a:p>
        <a:p>
          <a:pPr algn="l" rtl="1">
            <a:defRPr sz="1000"/>
          </a:pPr>
          <a:r>
            <a:rPr lang="tr-TR" sz="1000" b="0" i="0" strike="noStrike">
              <a:solidFill>
                <a:srgbClr val="000000"/>
              </a:solidFill>
              <a:latin typeface="Arial"/>
              <a:cs typeface="Arial"/>
            </a:rPr>
            <a:t>SALES AND PURCHASE AGREEMENT OF THE LURGI CRUSHING PLANT EQUIPMENT NO.C1741-0507, 18TH MAY, 2007.</a:t>
          </a:r>
        </a:p>
        <a:p>
          <a:pPr algn="l" rtl="1">
            <a:defRPr sz="1000"/>
          </a:pPr>
          <a:endParaRPr lang="tr-TR" sz="10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xdr:txBody>
    </xdr:sp>
    <xdr:clientData/>
  </xdr:twoCellAnchor>
  <xdr:twoCellAnchor>
    <xdr:from>
      <xdr:col>8</xdr:col>
      <xdr:colOff>0</xdr:colOff>
      <xdr:row>24</xdr:row>
      <xdr:rowOff>0</xdr:rowOff>
    </xdr:from>
    <xdr:to>
      <xdr:col>11</xdr:col>
      <xdr:colOff>133350</xdr:colOff>
      <xdr:row>24</xdr:row>
      <xdr:rowOff>0</xdr:rowOff>
    </xdr:to>
    <xdr:sp macro="" textlink="">
      <xdr:nvSpPr>
        <xdr:cNvPr id="5" name="Text Box 4">
          <a:extLst>
            <a:ext uri="{FF2B5EF4-FFF2-40B4-BE49-F238E27FC236}">
              <a16:creationId xmlns:a16="http://schemas.microsoft.com/office/drawing/2014/main" id="{CFD7D5A0-220B-869C-E5F2-F014E345636E}"/>
            </a:ext>
          </a:extLst>
        </xdr:cNvPr>
        <xdr:cNvSpPr txBox="1">
          <a:spLocks noChangeArrowheads="1"/>
        </xdr:cNvSpPr>
      </xdr:nvSpPr>
      <xdr:spPr bwMode="auto">
        <a:xfrm>
          <a:off x="7648575" y="4210050"/>
          <a:ext cx="2562225"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tr-TR" sz="1000" b="0" i="0" strike="noStrike">
              <a:solidFill>
                <a:srgbClr val="000000"/>
              </a:solidFill>
              <a:latin typeface="Arial"/>
              <a:cs typeface="Arial"/>
            </a:rPr>
            <a:t>NEW CRUDE OIL PRODUCTION PLANT EQUIPMENT WITH ENGINEERING DOCUMANTATION WITH A SUNFLOWER SEED TREATMENT CAPACITY OF 450 TONS PER 24 HOURS OR RAPE SEED CAPACITY OF 330 TONS PER 24 HOURS.</a:t>
          </a:r>
        </a:p>
        <a:p>
          <a:pPr algn="l" rtl="1">
            <a:defRPr sz="1000"/>
          </a:pPr>
          <a:r>
            <a:rPr lang="tr-TR" sz="1000" b="0" i="0" strike="noStrike">
              <a:solidFill>
                <a:srgbClr val="000000"/>
              </a:solidFill>
              <a:latin typeface="Arial"/>
              <a:cs typeface="Arial"/>
            </a:rPr>
            <a:t>SALES AND PURCHASE AGREEMENT OF THE LURGI CRUSHING PLANT EQUIPMENT NO.C1741-0507, 18TH MAY, 2007.</a:t>
          </a:r>
        </a:p>
        <a:p>
          <a:pPr algn="l" rtl="1">
            <a:defRPr sz="1000"/>
          </a:pPr>
          <a:endParaRPr lang="tr-TR" sz="10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xdr:txBody>
    </xdr:sp>
    <xdr:clientData/>
  </xdr:twoCellAnchor>
  <xdr:twoCellAnchor>
    <xdr:from>
      <xdr:col>8</xdr:col>
      <xdr:colOff>0</xdr:colOff>
      <xdr:row>24</xdr:row>
      <xdr:rowOff>0</xdr:rowOff>
    </xdr:from>
    <xdr:to>
      <xdr:col>11</xdr:col>
      <xdr:colOff>133350</xdr:colOff>
      <xdr:row>24</xdr:row>
      <xdr:rowOff>0</xdr:rowOff>
    </xdr:to>
    <xdr:sp macro="" textlink="">
      <xdr:nvSpPr>
        <xdr:cNvPr id="6" name="Text Box 4">
          <a:extLst>
            <a:ext uri="{FF2B5EF4-FFF2-40B4-BE49-F238E27FC236}">
              <a16:creationId xmlns:a16="http://schemas.microsoft.com/office/drawing/2014/main" id="{E3FC5BA1-DFCF-7AD7-B087-CE81E0837863}"/>
            </a:ext>
          </a:extLst>
        </xdr:cNvPr>
        <xdr:cNvSpPr txBox="1">
          <a:spLocks noChangeArrowheads="1"/>
        </xdr:cNvSpPr>
      </xdr:nvSpPr>
      <xdr:spPr bwMode="auto">
        <a:xfrm>
          <a:off x="7648575" y="4210050"/>
          <a:ext cx="2562225" cy="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1">
            <a:defRPr sz="1000"/>
          </a:pPr>
          <a:r>
            <a:rPr lang="tr-TR" sz="1000" b="0" i="0" strike="noStrike">
              <a:solidFill>
                <a:srgbClr val="000000"/>
              </a:solidFill>
              <a:latin typeface="Arial"/>
              <a:cs typeface="Arial"/>
            </a:rPr>
            <a:t>NEW CRUDE OIL PRODUCTION PLANT EQUIPMENT WITH ENGINEERING DOCUMANTATION WITH A SUNFLOWER SEED TREATMENT CAPACITY OF 450 TONS PER 24 HOURS OR RAPE SEED CAPACITY OF 330 TONS PER 24 HOURS.</a:t>
          </a:r>
        </a:p>
        <a:p>
          <a:pPr algn="l" rtl="1">
            <a:defRPr sz="1000"/>
          </a:pPr>
          <a:r>
            <a:rPr lang="tr-TR" sz="1000" b="0" i="0" strike="noStrike">
              <a:solidFill>
                <a:srgbClr val="000000"/>
              </a:solidFill>
              <a:latin typeface="Arial"/>
              <a:cs typeface="Arial"/>
            </a:rPr>
            <a:t>SALES AND PURCHASE AGREEMENT OF THE LURGI CRUSHING PLANT EQUIPMENT NO.C1741-0507, 18TH MAY, 2007.</a:t>
          </a:r>
        </a:p>
        <a:p>
          <a:pPr algn="l" rtl="1">
            <a:defRPr sz="1000"/>
          </a:pPr>
          <a:endParaRPr lang="tr-TR" sz="10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a:p>
          <a:pPr algn="l" rtl="1">
            <a:defRPr sz="1000"/>
          </a:pPr>
          <a:endParaRPr lang="tr-TR"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DA0FC-3C7A-43B3-B347-0C0ECB9F55EA}">
  <dimension ref="A1:P37"/>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92.4" x14ac:dyDescent="0.25">
      <c r="A2" s="140" t="s">
        <v>1346</v>
      </c>
      <c r="B2" s="140" t="s">
        <v>1666</v>
      </c>
      <c r="C2" s="34" t="s">
        <v>97</v>
      </c>
      <c r="D2" s="35" t="s">
        <v>1348</v>
      </c>
      <c r="E2" s="35">
        <v>1</v>
      </c>
      <c r="F2" s="46" t="s">
        <v>1664</v>
      </c>
      <c r="G2" s="75">
        <v>1</v>
      </c>
      <c r="H2" s="73" t="s">
        <v>1593</v>
      </c>
      <c r="I2" s="51">
        <v>13340</v>
      </c>
      <c r="J2" s="51">
        <v>13340</v>
      </c>
      <c r="K2" s="82">
        <v>12.94</v>
      </c>
      <c r="L2" s="82">
        <v>2.19</v>
      </c>
      <c r="M2" s="82">
        <v>3.91</v>
      </c>
      <c r="N2" s="36"/>
      <c r="O2" s="7"/>
      <c r="P2" s="7"/>
    </row>
    <row r="3" spans="1:16" s="8" customFormat="1" ht="20.399999999999999" x14ac:dyDescent="0.25">
      <c r="A3" s="140" t="s">
        <v>1346</v>
      </c>
      <c r="B3" s="140" t="s">
        <v>1666</v>
      </c>
      <c r="C3" s="34" t="s">
        <v>97</v>
      </c>
      <c r="D3" s="35" t="s">
        <v>616</v>
      </c>
      <c r="E3" s="35">
        <v>1</v>
      </c>
      <c r="F3" s="46" t="s">
        <v>1665</v>
      </c>
      <c r="G3" s="130">
        <v>1</v>
      </c>
      <c r="H3" s="132" t="s">
        <v>1616</v>
      </c>
      <c r="I3" s="51">
        <v>105</v>
      </c>
      <c r="J3" s="51">
        <v>105</v>
      </c>
      <c r="K3" s="82">
        <v>2.06</v>
      </c>
      <c r="L3" s="82">
        <v>0.3</v>
      </c>
      <c r="M3" s="82">
        <v>0.45</v>
      </c>
      <c r="N3" s="36"/>
      <c r="O3" s="7"/>
      <c r="P3" s="7"/>
    </row>
    <row r="4" spans="1:16" s="8" customFormat="1" ht="20.399999999999999" x14ac:dyDescent="0.25">
      <c r="A4" s="140" t="s">
        <v>1346</v>
      </c>
      <c r="B4" s="140" t="s">
        <v>1666</v>
      </c>
      <c r="C4" s="34" t="s">
        <v>97</v>
      </c>
      <c r="D4" s="35" t="s">
        <v>616</v>
      </c>
      <c r="E4" s="35">
        <v>1</v>
      </c>
      <c r="F4" s="46" t="s">
        <v>1665</v>
      </c>
      <c r="G4" s="130">
        <v>1</v>
      </c>
      <c r="H4" s="132" t="s">
        <v>1616</v>
      </c>
      <c r="I4" s="51">
        <v>105</v>
      </c>
      <c r="J4" s="51">
        <v>105</v>
      </c>
      <c r="K4" s="82">
        <v>2.06</v>
      </c>
      <c r="L4" s="82">
        <v>0.3</v>
      </c>
      <c r="M4" s="82">
        <v>0.45</v>
      </c>
      <c r="N4" s="36"/>
      <c r="O4" s="7"/>
      <c r="P4" s="7"/>
    </row>
    <row r="5" spans="1:16" s="8" customFormat="1" ht="20.399999999999999" x14ac:dyDescent="0.25">
      <c r="A5" s="140" t="s">
        <v>1346</v>
      </c>
      <c r="B5" s="140" t="s">
        <v>1347</v>
      </c>
      <c r="C5" s="30" t="s">
        <v>21</v>
      </c>
      <c r="D5" s="29" t="s">
        <v>968</v>
      </c>
      <c r="E5" s="29">
        <v>46</v>
      </c>
      <c r="F5" s="58" t="s">
        <v>1349</v>
      </c>
      <c r="G5" s="155">
        <v>46</v>
      </c>
      <c r="H5" s="157" t="s">
        <v>14</v>
      </c>
      <c r="I5" s="48"/>
      <c r="J5" s="48"/>
      <c r="K5" s="82"/>
      <c r="L5" s="82"/>
      <c r="M5" s="82"/>
      <c r="N5" s="36"/>
      <c r="O5" s="7"/>
      <c r="P5" s="7"/>
    </row>
    <row r="6" spans="1:16" s="8" customFormat="1" ht="20.399999999999999" x14ac:dyDescent="0.25">
      <c r="A6" s="140" t="s">
        <v>1346</v>
      </c>
      <c r="B6" s="140" t="s">
        <v>1347</v>
      </c>
      <c r="C6" s="30" t="s">
        <v>18</v>
      </c>
      <c r="D6" s="29" t="s">
        <v>970</v>
      </c>
      <c r="E6" s="29">
        <v>1</v>
      </c>
      <c r="F6" s="58" t="s">
        <v>1350</v>
      </c>
      <c r="G6" s="155">
        <v>1</v>
      </c>
      <c r="H6" s="157" t="s">
        <v>14</v>
      </c>
      <c r="I6" s="48"/>
      <c r="J6" s="48"/>
      <c r="K6" s="82"/>
      <c r="L6" s="82"/>
      <c r="M6" s="82"/>
      <c r="N6" s="36"/>
      <c r="O6" s="7"/>
      <c r="P6" s="7"/>
    </row>
    <row r="7" spans="1:16" s="8" customFormat="1" ht="52.8" x14ac:dyDescent="0.25">
      <c r="A7" s="140" t="s">
        <v>1346</v>
      </c>
      <c r="B7" s="140" t="s">
        <v>1347</v>
      </c>
      <c r="C7" s="30" t="s">
        <v>21</v>
      </c>
      <c r="D7" s="29" t="s">
        <v>1351</v>
      </c>
      <c r="E7" s="29">
        <v>1</v>
      </c>
      <c r="F7" s="58" t="s">
        <v>1352</v>
      </c>
      <c r="G7" s="137">
        <v>1</v>
      </c>
      <c r="H7" s="133" t="s">
        <v>14</v>
      </c>
      <c r="I7" s="48"/>
      <c r="J7" s="48"/>
      <c r="K7" s="82"/>
      <c r="L7" s="82"/>
      <c r="M7" s="82"/>
      <c r="N7" s="36"/>
      <c r="O7" s="7"/>
      <c r="P7" s="7"/>
    </row>
    <row r="8" spans="1:16" s="8" customFormat="1" ht="26.4" x14ac:dyDescent="0.25">
      <c r="A8" s="140" t="s">
        <v>1346</v>
      </c>
      <c r="B8" s="140" t="s">
        <v>1347</v>
      </c>
      <c r="C8" s="30" t="s">
        <v>18</v>
      </c>
      <c r="D8" s="29" t="s">
        <v>1353</v>
      </c>
      <c r="E8" s="29">
        <v>1</v>
      </c>
      <c r="F8" s="58" t="s">
        <v>1354</v>
      </c>
      <c r="G8" s="155">
        <v>1</v>
      </c>
      <c r="H8" s="157" t="s">
        <v>14</v>
      </c>
      <c r="I8" s="48"/>
      <c r="J8" s="48"/>
      <c r="K8" s="82"/>
      <c r="L8" s="82"/>
      <c r="M8" s="82"/>
      <c r="N8" s="36"/>
      <c r="O8" s="7"/>
      <c r="P8" s="7"/>
    </row>
    <row r="9" spans="1:16" s="8" customFormat="1" ht="20.399999999999999" x14ac:dyDescent="0.25">
      <c r="A9" s="140" t="s">
        <v>1346</v>
      </c>
      <c r="B9" s="140" t="s">
        <v>1347</v>
      </c>
      <c r="C9" s="30" t="s">
        <v>18</v>
      </c>
      <c r="D9" s="29" t="s">
        <v>617</v>
      </c>
      <c r="E9" s="29">
        <v>1</v>
      </c>
      <c r="F9" s="58" t="s">
        <v>1355</v>
      </c>
      <c r="G9" s="155">
        <v>7</v>
      </c>
      <c r="H9" s="157" t="s">
        <v>14</v>
      </c>
      <c r="I9" s="48"/>
      <c r="J9" s="48"/>
      <c r="K9" s="82"/>
      <c r="L9" s="82"/>
      <c r="M9" s="82"/>
      <c r="N9" s="36"/>
      <c r="O9" s="7"/>
      <c r="P9" s="7"/>
    </row>
    <row r="10" spans="1:16" s="8" customFormat="1" ht="20.399999999999999" x14ac:dyDescent="0.25">
      <c r="A10" s="140" t="s">
        <v>1346</v>
      </c>
      <c r="B10" s="140" t="s">
        <v>1347</v>
      </c>
      <c r="C10" s="30" t="s">
        <v>21</v>
      </c>
      <c r="D10" s="29" t="s">
        <v>618</v>
      </c>
      <c r="E10" s="29">
        <v>1</v>
      </c>
      <c r="F10" s="58" t="s">
        <v>1356</v>
      </c>
      <c r="G10" s="155">
        <v>1</v>
      </c>
      <c r="H10" s="157" t="s">
        <v>14</v>
      </c>
      <c r="I10" s="48"/>
      <c r="J10" s="48"/>
      <c r="K10" s="82"/>
      <c r="L10" s="82"/>
      <c r="M10" s="82"/>
      <c r="N10" s="36"/>
      <c r="O10" s="7"/>
      <c r="P10" s="7"/>
    </row>
    <row r="11" spans="1:16" s="8" customFormat="1" ht="20.399999999999999" x14ac:dyDescent="0.25">
      <c r="A11" s="140" t="s">
        <v>1346</v>
      </c>
      <c r="B11" s="140" t="s">
        <v>1347</v>
      </c>
      <c r="C11" s="30" t="s">
        <v>21</v>
      </c>
      <c r="D11" s="29" t="s">
        <v>1076</v>
      </c>
      <c r="E11" s="29">
        <v>1</v>
      </c>
      <c r="F11" s="58" t="s">
        <v>1357</v>
      </c>
      <c r="G11" s="155">
        <v>1</v>
      </c>
      <c r="H11" s="71" t="s">
        <v>14</v>
      </c>
      <c r="I11" s="48"/>
      <c r="J11" s="48"/>
      <c r="K11" s="82"/>
      <c r="L11" s="82"/>
      <c r="M11" s="82"/>
      <c r="N11" s="36"/>
      <c r="O11" s="7"/>
      <c r="P11" s="7"/>
    </row>
    <row r="12" spans="1:16" s="8" customFormat="1" ht="26.4" x14ac:dyDescent="0.25">
      <c r="A12" s="140" t="s">
        <v>1346</v>
      </c>
      <c r="B12" s="140" t="s">
        <v>1347</v>
      </c>
      <c r="C12" s="30" t="s">
        <v>21</v>
      </c>
      <c r="D12" s="210" t="s">
        <v>1358</v>
      </c>
      <c r="E12" s="29">
        <v>1</v>
      </c>
      <c r="F12" s="58" t="s">
        <v>1359</v>
      </c>
      <c r="G12" s="155">
        <v>2</v>
      </c>
      <c r="H12" s="133" t="s">
        <v>14</v>
      </c>
      <c r="I12" s="48"/>
      <c r="J12" s="48"/>
      <c r="K12" s="82"/>
      <c r="L12" s="82"/>
      <c r="M12" s="82"/>
      <c r="N12" s="36"/>
      <c r="O12" s="7"/>
      <c r="P12" s="7"/>
    </row>
    <row r="13" spans="1:16" s="8" customFormat="1" ht="20.399999999999999" x14ac:dyDescent="0.25">
      <c r="A13" s="140" t="s">
        <v>1346</v>
      </c>
      <c r="B13" s="140" t="s">
        <v>1347</v>
      </c>
      <c r="C13" s="30" t="s">
        <v>21</v>
      </c>
      <c r="D13" s="29" t="s">
        <v>1103</v>
      </c>
      <c r="E13" s="29">
        <v>1</v>
      </c>
      <c r="F13" s="58" t="s">
        <v>438</v>
      </c>
      <c r="G13" s="155">
        <v>1</v>
      </c>
      <c r="H13" s="157" t="s">
        <v>14</v>
      </c>
      <c r="I13" s="48"/>
      <c r="J13" s="48"/>
      <c r="K13" s="82"/>
      <c r="L13" s="82"/>
      <c r="M13" s="82"/>
      <c r="N13" s="36"/>
      <c r="O13" s="7"/>
      <c r="P13" s="7"/>
    </row>
    <row r="14" spans="1:16" s="8" customFormat="1" ht="20.399999999999999" x14ac:dyDescent="0.25">
      <c r="A14" s="140" t="s">
        <v>1346</v>
      </c>
      <c r="B14" s="140" t="s">
        <v>1347</v>
      </c>
      <c r="C14" s="158" t="s">
        <v>21</v>
      </c>
      <c r="D14" s="210" t="s">
        <v>626</v>
      </c>
      <c r="E14" s="29">
        <v>1</v>
      </c>
      <c r="F14" s="58" t="s">
        <v>829</v>
      </c>
      <c r="G14" s="155">
        <v>1</v>
      </c>
      <c r="H14" s="157" t="s">
        <v>14</v>
      </c>
      <c r="I14" s="48"/>
      <c r="J14" s="48"/>
      <c r="K14" s="82"/>
      <c r="L14" s="82"/>
      <c r="M14" s="82"/>
      <c r="N14" s="36"/>
      <c r="O14" s="7"/>
      <c r="P14" s="7"/>
    </row>
    <row r="15" spans="1:16" s="8" customFormat="1" ht="20.399999999999999" x14ac:dyDescent="0.25">
      <c r="A15" s="140" t="s">
        <v>1346</v>
      </c>
      <c r="B15" s="140" t="s">
        <v>1347</v>
      </c>
      <c r="C15" s="30" t="s">
        <v>97</v>
      </c>
      <c r="D15" s="29" t="s">
        <v>630</v>
      </c>
      <c r="E15" s="29">
        <v>1</v>
      </c>
      <c r="F15" s="58" t="s">
        <v>1355</v>
      </c>
      <c r="G15" s="155">
        <v>1</v>
      </c>
      <c r="H15" s="157" t="s">
        <v>14</v>
      </c>
      <c r="I15" s="48"/>
      <c r="J15" s="48"/>
      <c r="K15" s="82"/>
      <c r="L15" s="82"/>
      <c r="M15" s="82"/>
      <c r="N15" s="36"/>
      <c r="O15" s="7"/>
      <c r="P15" s="7"/>
    </row>
    <row r="16" spans="1:16" s="8" customFormat="1" ht="20.399999999999999" x14ac:dyDescent="0.25">
      <c r="A16" s="140" t="s">
        <v>1346</v>
      </c>
      <c r="B16" s="140" t="s">
        <v>1347</v>
      </c>
      <c r="C16" s="30" t="s">
        <v>21</v>
      </c>
      <c r="D16" s="210" t="s">
        <v>631</v>
      </c>
      <c r="E16" s="29">
        <v>1</v>
      </c>
      <c r="F16" s="58" t="s">
        <v>834</v>
      </c>
      <c r="G16" s="155">
        <v>1</v>
      </c>
      <c r="H16" s="133" t="s">
        <v>14</v>
      </c>
      <c r="I16" s="48"/>
      <c r="J16" s="48"/>
      <c r="K16" s="82"/>
      <c r="L16" s="82"/>
      <c r="M16" s="82"/>
      <c r="N16" s="36"/>
      <c r="O16" s="7"/>
      <c r="P16" s="7"/>
    </row>
    <row r="17" spans="1:16" s="8" customFormat="1" ht="26.4" x14ac:dyDescent="0.25">
      <c r="A17" s="140" t="s">
        <v>1346</v>
      </c>
      <c r="B17" s="140" t="s">
        <v>1347</v>
      </c>
      <c r="C17" s="30" t="s">
        <v>21</v>
      </c>
      <c r="D17" s="210" t="s">
        <v>1360</v>
      </c>
      <c r="E17" s="29">
        <v>1</v>
      </c>
      <c r="F17" s="58" t="s">
        <v>1361</v>
      </c>
      <c r="G17" s="155">
        <v>1</v>
      </c>
      <c r="H17" s="133" t="s">
        <v>14</v>
      </c>
      <c r="I17" s="48"/>
      <c r="J17" s="48"/>
      <c r="K17" s="82"/>
      <c r="L17" s="82"/>
      <c r="M17" s="82"/>
      <c r="N17" s="36"/>
      <c r="O17" s="7"/>
      <c r="P17" s="7"/>
    </row>
    <row r="18" spans="1:16" s="8" customFormat="1" ht="20.399999999999999" x14ac:dyDescent="0.25">
      <c r="A18" s="140" t="s">
        <v>1346</v>
      </c>
      <c r="B18" s="140" t="s">
        <v>1347</v>
      </c>
      <c r="C18" s="30" t="s">
        <v>21</v>
      </c>
      <c r="D18" s="210" t="s">
        <v>634</v>
      </c>
      <c r="E18" s="29">
        <v>1</v>
      </c>
      <c r="F18" s="58" t="s">
        <v>1092</v>
      </c>
      <c r="G18" s="155">
        <v>1</v>
      </c>
      <c r="H18" s="211" t="s">
        <v>14</v>
      </c>
      <c r="I18" s="48"/>
      <c r="J18" s="48"/>
      <c r="K18" s="82"/>
      <c r="L18" s="82"/>
      <c r="M18" s="82"/>
      <c r="N18" s="36"/>
      <c r="O18" s="7"/>
      <c r="P18" s="7"/>
    </row>
    <row r="19" spans="1:16" s="8" customFormat="1" ht="20.399999999999999" x14ac:dyDescent="0.25">
      <c r="A19" s="140" t="s">
        <v>1346</v>
      </c>
      <c r="B19" s="140" t="s">
        <v>1347</v>
      </c>
      <c r="C19" s="30" t="s">
        <v>21</v>
      </c>
      <c r="D19" s="210" t="s">
        <v>1231</v>
      </c>
      <c r="E19" s="29">
        <v>1</v>
      </c>
      <c r="F19" s="58" t="s">
        <v>832</v>
      </c>
      <c r="G19" s="155">
        <v>1</v>
      </c>
      <c r="H19" s="211" t="s">
        <v>14</v>
      </c>
      <c r="I19" s="48"/>
      <c r="J19" s="48"/>
      <c r="K19" s="82"/>
      <c r="L19" s="82"/>
      <c r="M19" s="82"/>
      <c r="N19" s="36"/>
      <c r="O19" s="7"/>
      <c r="P19" s="7"/>
    </row>
    <row r="20" spans="1:16" s="8" customFormat="1" ht="20.399999999999999" x14ac:dyDescent="0.25">
      <c r="A20" s="140" t="s">
        <v>1346</v>
      </c>
      <c r="B20" s="140" t="s">
        <v>1347</v>
      </c>
      <c r="C20" s="30" t="s">
        <v>21</v>
      </c>
      <c r="D20" s="210" t="s">
        <v>1362</v>
      </c>
      <c r="E20" s="29">
        <v>1</v>
      </c>
      <c r="F20" s="212" t="s">
        <v>833</v>
      </c>
      <c r="G20" s="155">
        <v>1</v>
      </c>
      <c r="H20" s="211" t="s">
        <v>14</v>
      </c>
      <c r="I20" s="48"/>
      <c r="J20" s="48"/>
      <c r="K20" s="82"/>
      <c r="L20" s="82"/>
      <c r="M20" s="82"/>
      <c r="N20" s="38"/>
    </row>
    <row r="21" spans="1:16" s="8" customFormat="1" ht="20.399999999999999" x14ac:dyDescent="0.25">
      <c r="A21" s="140" t="s">
        <v>1346</v>
      </c>
      <c r="B21" s="140" t="s">
        <v>1347</v>
      </c>
      <c r="C21" s="30" t="s">
        <v>21</v>
      </c>
      <c r="D21" s="210" t="s">
        <v>635</v>
      </c>
      <c r="E21" s="29">
        <v>1</v>
      </c>
      <c r="F21" s="58" t="s">
        <v>1093</v>
      </c>
      <c r="G21" s="155">
        <v>1</v>
      </c>
      <c r="H21" s="157" t="s">
        <v>14</v>
      </c>
      <c r="I21" s="48"/>
      <c r="J21" s="48"/>
      <c r="K21" s="82"/>
      <c r="L21" s="82"/>
      <c r="M21" s="82"/>
      <c r="N21" s="38"/>
    </row>
    <row r="22" spans="1:16" s="8" customFormat="1" ht="20.399999999999999" x14ac:dyDescent="0.25">
      <c r="A22" s="140" t="s">
        <v>1346</v>
      </c>
      <c r="B22" s="140" t="s">
        <v>1347</v>
      </c>
      <c r="C22" s="30" t="s">
        <v>21</v>
      </c>
      <c r="D22" s="210" t="s">
        <v>639</v>
      </c>
      <c r="E22" s="29">
        <v>1</v>
      </c>
      <c r="F22" s="58" t="s">
        <v>1095</v>
      </c>
      <c r="G22" s="155">
        <v>1</v>
      </c>
      <c r="H22" s="157" t="s">
        <v>14</v>
      </c>
      <c r="I22" s="48"/>
      <c r="J22" s="48"/>
      <c r="K22" s="82"/>
      <c r="L22" s="82"/>
      <c r="M22" s="82"/>
      <c r="N22" s="38"/>
    </row>
    <row r="23" spans="1:16" s="8" customFormat="1" ht="20.399999999999999" x14ac:dyDescent="0.25">
      <c r="A23" s="140" t="s">
        <v>1346</v>
      </c>
      <c r="B23" s="140" t="s">
        <v>1347</v>
      </c>
      <c r="C23" s="30" t="s">
        <v>21</v>
      </c>
      <c r="D23" s="210" t="s">
        <v>641</v>
      </c>
      <c r="E23" s="29">
        <v>1</v>
      </c>
      <c r="F23" s="58" t="s">
        <v>1097</v>
      </c>
      <c r="G23" s="155">
        <v>1</v>
      </c>
      <c r="H23" s="157" t="s">
        <v>14</v>
      </c>
      <c r="I23" s="48"/>
      <c r="J23" s="48"/>
      <c r="K23" s="82"/>
      <c r="L23" s="82"/>
      <c r="M23" s="82"/>
      <c r="N23" s="38"/>
    </row>
    <row r="24" spans="1:16" s="8" customFormat="1" ht="20.399999999999999" x14ac:dyDescent="0.25">
      <c r="A24" s="140" t="s">
        <v>1346</v>
      </c>
      <c r="B24" s="140" t="s">
        <v>1347</v>
      </c>
      <c r="C24" s="30" t="s">
        <v>21</v>
      </c>
      <c r="D24" s="210" t="s">
        <v>1078</v>
      </c>
      <c r="E24" s="29">
        <v>1</v>
      </c>
      <c r="F24" s="58" t="s">
        <v>1363</v>
      </c>
      <c r="G24" s="137">
        <v>1</v>
      </c>
      <c r="H24" s="157" t="s">
        <v>14</v>
      </c>
      <c r="I24" s="48"/>
      <c r="J24" s="48"/>
      <c r="K24" s="84"/>
      <c r="L24" s="84"/>
      <c r="M24" s="84"/>
      <c r="N24" s="38"/>
    </row>
    <row r="25" spans="1:16" s="8" customFormat="1" ht="20.399999999999999" x14ac:dyDescent="0.25">
      <c r="A25" s="140" t="s">
        <v>1346</v>
      </c>
      <c r="B25" s="140" t="s">
        <v>1347</v>
      </c>
      <c r="C25" s="30" t="s">
        <v>21</v>
      </c>
      <c r="D25" s="210" t="s">
        <v>644</v>
      </c>
      <c r="E25" s="29">
        <v>1</v>
      </c>
      <c r="F25" s="58" t="s">
        <v>1364</v>
      </c>
      <c r="G25" s="137">
        <v>1</v>
      </c>
      <c r="H25" s="157" t="s">
        <v>14</v>
      </c>
      <c r="I25" s="48"/>
      <c r="J25" s="48"/>
      <c r="K25" s="84"/>
      <c r="L25" s="84"/>
      <c r="M25" s="84"/>
      <c r="N25" s="38"/>
    </row>
    <row r="26" spans="1:16" s="8" customFormat="1" ht="20.399999999999999" x14ac:dyDescent="0.25">
      <c r="A26" s="140" t="s">
        <v>1346</v>
      </c>
      <c r="B26" s="140" t="s">
        <v>1347</v>
      </c>
      <c r="C26" s="30" t="s">
        <v>21</v>
      </c>
      <c r="D26" s="210" t="s">
        <v>644</v>
      </c>
      <c r="E26" s="29">
        <v>1</v>
      </c>
      <c r="F26" s="58" t="s">
        <v>1365</v>
      </c>
      <c r="G26" s="137">
        <v>1</v>
      </c>
      <c r="H26" s="157" t="s">
        <v>14</v>
      </c>
      <c r="I26" s="51"/>
      <c r="J26" s="48"/>
      <c r="K26" s="82"/>
      <c r="L26" s="82"/>
      <c r="M26" s="82"/>
      <c r="N26" s="38"/>
    </row>
    <row r="27" spans="1:16" s="8" customFormat="1" ht="61.2" x14ac:dyDescent="0.25">
      <c r="A27" s="140" t="s">
        <v>1346</v>
      </c>
      <c r="B27" s="140" t="s">
        <v>1347</v>
      </c>
      <c r="C27" s="30" t="s">
        <v>21</v>
      </c>
      <c r="D27" s="210" t="s">
        <v>644</v>
      </c>
      <c r="E27" s="109">
        <v>1</v>
      </c>
      <c r="F27" s="213" t="s">
        <v>1373</v>
      </c>
      <c r="G27" s="137">
        <v>5</v>
      </c>
      <c r="H27" s="133" t="s">
        <v>14</v>
      </c>
      <c r="I27" s="48"/>
      <c r="J27" s="48"/>
      <c r="K27" s="84"/>
      <c r="L27" s="84"/>
      <c r="M27" s="84"/>
      <c r="N27" s="38"/>
    </row>
    <row r="28" spans="1:16" s="8" customFormat="1" ht="26.4" x14ac:dyDescent="0.25">
      <c r="A28" s="140" t="s">
        <v>1346</v>
      </c>
      <c r="B28" s="140" t="s">
        <v>1347</v>
      </c>
      <c r="C28" s="30" t="s">
        <v>20</v>
      </c>
      <c r="D28" s="210" t="s">
        <v>644</v>
      </c>
      <c r="E28" s="109">
        <v>1</v>
      </c>
      <c r="F28" s="58" t="s">
        <v>1366</v>
      </c>
      <c r="G28" s="137">
        <v>3</v>
      </c>
      <c r="H28" s="133" t="s">
        <v>14</v>
      </c>
      <c r="I28" s="48"/>
      <c r="J28" s="48"/>
      <c r="K28" s="84"/>
      <c r="L28" s="84"/>
      <c r="M28" s="84"/>
      <c r="N28" s="38"/>
    </row>
    <row r="29" spans="1:16" s="8" customFormat="1" ht="20.399999999999999" x14ac:dyDescent="0.25">
      <c r="A29" s="140" t="s">
        <v>1346</v>
      </c>
      <c r="B29" s="140" t="s">
        <v>1347</v>
      </c>
      <c r="C29" s="30" t="s">
        <v>21</v>
      </c>
      <c r="D29" s="210" t="s">
        <v>644</v>
      </c>
      <c r="E29" s="29">
        <v>1</v>
      </c>
      <c r="F29" s="58" t="s">
        <v>1114</v>
      </c>
      <c r="G29" s="137">
        <v>1</v>
      </c>
      <c r="H29" s="157" t="s">
        <v>14</v>
      </c>
      <c r="I29" s="48"/>
      <c r="J29" s="48"/>
      <c r="K29" s="84"/>
      <c r="L29" s="84"/>
      <c r="M29" s="84"/>
      <c r="N29" s="38"/>
    </row>
    <row r="30" spans="1:16" ht="20.399999999999999" x14ac:dyDescent="0.25">
      <c r="A30" s="140" t="s">
        <v>1346</v>
      </c>
      <c r="B30" s="140" t="s">
        <v>1347</v>
      </c>
      <c r="C30" s="30" t="s">
        <v>21</v>
      </c>
      <c r="D30" s="210" t="s">
        <v>645</v>
      </c>
      <c r="E30" s="29">
        <v>1</v>
      </c>
      <c r="F30" s="58" t="s">
        <v>850</v>
      </c>
      <c r="G30" s="155">
        <v>1</v>
      </c>
      <c r="H30" s="157" t="s">
        <v>14</v>
      </c>
      <c r="I30" s="48"/>
      <c r="J30" s="48"/>
      <c r="K30" s="84"/>
      <c r="L30" s="84"/>
      <c r="M30" s="84"/>
      <c r="N30" s="38"/>
    </row>
    <row r="31" spans="1:16" ht="20.399999999999999" x14ac:dyDescent="0.25">
      <c r="A31" s="140" t="s">
        <v>1346</v>
      </c>
      <c r="B31" s="140" t="s">
        <v>1347</v>
      </c>
      <c r="C31" s="30" t="s">
        <v>21</v>
      </c>
      <c r="D31" s="29" t="s">
        <v>1111</v>
      </c>
      <c r="E31" s="29">
        <v>1</v>
      </c>
      <c r="F31" s="58" t="s">
        <v>39</v>
      </c>
      <c r="G31" s="155">
        <v>1</v>
      </c>
      <c r="H31" s="157" t="s">
        <v>14</v>
      </c>
      <c r="I31" s="48"/>
      <c r="J31" s="48"/>
      <c r="K31" s="84"/>
      <c r="L31" s="84"/>
      <c r="M31" s="84"/>
      <c r="N31" s="38"/>
    </row>
    <row r="32" spans="1:16" ht="26.4" x14ac:dyDescent="0.25">
      <c r="A32" s="140" t="s">
        <v>1346</v>
      </c>
      <c r="B32" s="140" t="s">
        <v>1347</v>
      </c>
      <c r="C32" s="30" t="s">
        <v>21</v>
      </c>
      <c r="D32" s="29" t="s">
        <v>709</v>
      </c>
      <c r="E32" s="29">
        <v>1</v>
      </c>
      <c r="F32" s="58" t="s">
        <v>1367</v>
      </c>
      <c r="G32" s="155">
        <v>1</v>
      </c>
      <c r="H32" s="157" t="s">
        <v>14</v>
      </c>
      <c r="I32" s="48"/>
      <c r="J32" s="48"/>
      <c r="K32" s="84"/>
      <c r="L32" s="84"/>
      <c r="M32" s="84"/>
      <c r="N32" s="38"/>
    </row>
    <row r="33" spans="1:14" ht="26.4" x14ac:dyDescent="0.25">
      <c r="A33" s="140" t="s">
        <v>1346</v>
      </c>
      <c r="B33" s="140" t="s">
        <v>1347</v>
      </c>
      <c r="C33" s="30" t="s">
        <v>21</v>
      </c>
      <c r="D33" s="210" t="s">
        <v>647</v>
      </c>
      <c r="E33" s="29">
        <v>1</v>
      </c>
      <c r="F33" s="58" t="s">
        <v>1368</v>
      </c>
      <c r="G33" s="155">
        <v>2</v>
      </c>
      <c r="H33" s="157" t="s">
        <v>14</v>
      </c>
      <c r="I33" s="48"/>
      <c r="J33" s="48"/>
      <c r="K33" s="84"/>
      <c r="L33" s="84"/>
      <c r="M33" s="84"/>
      <c r="N33" s="38"/>
    </row>
    <row r="34" spans="1:14" ht="20.399999999999999" x14ac:dyDescent="0.25">
      <c r="A34" s="140" t="s">
        <v>1346</v>
      </c>
      <c r="B34" s="140" t="s">
        <v>1347</v>
      </c>
      <c r="C34" s="30" t="s">
        <v>21</v>
      </c>
      <c r="D34" s="210" t="s">
        <v>650</v>
      </c>
      <c r="E34" s="29">
        <v>1</v>
      </c>
      <c r="F34" s="58" t="s">
        <v>1100</v>
      </c>
      <c r="G34" s="155">
        <v>1</v>
      </c>
      <c r="H34" s="157" t="s">
        <v>14</v>
      </c>
      <c r="I34" s="48"/>
      <c r="J34" s="48"/>
      <c r="K34" s="84"/>
      <c r="L34" s="84"/>
      <c r="M34" s="84"/>
      <c r="N34" s="38"/>
    </row>
    <row r="35" spans="1:14" ht="20.399999999999999" x14ac:dyDescent="0.25">
      <c r="A35" s="140" t="s">
        <v>1346</v>
      </c>
      <c r="B35" s="140" t="s">
        <v>1347</v>
      </c>
      <c r="C35" s="30" t="s">
        <v>21</v>
      </c>
      <c r="D35" s="210" t="s">
        <v>648</v>
      </c>
      <c r="E35" s="29">
        <v>1</v>
      </c>
      <c r="F35" s="58" t="s">
        <v>742</v>
      </c>
      <c r="G35" s="155">
        <v>1</v>
      </c>
      <c r="H35" s="157" t="s">
        <v>14</v>
      </c>
      <c r="I35" s="48"/>
      <c r="J35" s="48"/>
      <c r="K35" s="84"/>
      <c r="L35" s="84"/>
      <c r="M35" s="84"/>
      <c r="N35" s="38"/>
    </row>
    <row r="36" spans="1:14" ht="20.399999999999999" x14ac:dyDescent="0.25">
      <c r="A36" s="140" t="s">
        <v>1346</v>
      </c>
      <c r="B36" s="140" t="s">
        <v>1347</v>
      </c>
      <c r="C36" s="30" t="s">
        <v>21</v>
      </c>
      <c r="D36" s="210" t="s">
        <v>1369</v>
      </c>
      <c r="E36" s="29">
        <v>1</v>
      </c>
      <c r="F36" s="58" t="s">
        <v>1370</v>
      </c>
      <c r="G36" s="155">
        <v>1</v>
      </c>
      <c r="H36" s="157" t="s">
        <v>14</v>
      </c>
      <c r="I36" s="48"/>
      <c r="J36" s="48"/>
      <c r="K36" s="84"/>
      <c r="L36" s="84"/>
      <c r="M36" s="84"/>
      <c r="N36" s="38"/>
    </row>
    <row r="37" spans="1:14" ht="61.2" x14ac:dyDescent="0.25">
      <c r="A37" s="140" t="s">
        <v>1346</v>
      </c>
      <c r="B37" s="140" t="s">
        <v>1347</v>
      </c>
      <c r="C37" s="30" t="s">
        <v>20</v>
      </c>
      <c r="D37" s="111" t="s">
        <v>1371</v>
      </c>
      <c r="E37" s="29">
        <v>1</v>
      </c>
      <c r="F37" s="213" t="s">
        <v>1372</v>
      </c>
      <c r="G37" s="155">
        <v>48</v>
      </c>
      <c r="H37" s="71" t="s">
        <v>14</v>
      </c>
      <c r="I37" s="48"/>
      <c r="J37" s="48"/>
      <c r="K37" s="84"/>
      <c r="L37" s="84"/>
      <c r="M37" s="84"/>
      <c r="N37" s="3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364-8609-4A58-A411-76BE295CDD6E}">
  <dimension ref="A1:P146"/>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20.399999999999999" x14ac:dyDescent="0.25">
      <c r="A2" s="186" t="s">
        <v>1307</v>
      </c>
      <c r="B2" s="186"/>
      <c r="C2" s="41" t="s">
        <v>21</v>
      </c>
      <c r="D2" s="40" t="s">
        <v>42</v>
      </c>
      <c r="E2" s="40">
        <v>1</v>
      </c>
      <c r="F2" s="49" t="s">
        <v>43</v>
      </c>
      <c r="G2" s="138">
        <v>1</v>
      </c>
      <c r="H2" s="77" t="s">
        <v>14</v>
      </c>
      <c r="I2" s="50">
        <v>21653</v>
      </c>
      <c r="J2" s="50">
        <v>21653</v>
      </c>
      <c r="K2" s="83">
        <v>16</v>
      </c>
      <c r="L2" s="83">
        <v>2.7</v>
      </c>
      <c r="M2" s="83">
        <v>4.2</v>
      </c>
      <c r="N2" s="42" t="s">
        <v>71</v>
      </c>
      <c r="O2" s="7"/>
      <c r="P2" s="7"/>
    </row>
    <row r="3" spans="1:16" s="8" customFormat="1" ht="20.399999999999999" x14ac:dyDescent="0.25">
      <c r="A3" s="140" t="s">
        <v>1308</v>
      </c>
      <c r="B3" s="140" t="s">
        <v>366</v>
      </c>
      <c r="C3" s="34" t="s">
        <v>21</v>
      </c>
      <c r="D3" s="35" t="s">
        <v>42</v>
      </c>
      <c r="E3" s="35">
        <v>1</v>
      </c>
      <c r="F3" s="46" t="s">
        <v>902</v>
      </c>
      <c r="G3" s="75">
        <v>1</v>
      </c>
      <c r="H3" s="73" t="s">
        <v>14</v>
      </c>
      <c r="I3" s="48">
        <v>22200</v>
      </c>
      <c r="J3" s="48">
        <v>22200</v>
      </c>
      <c r="K3" s="82">
        <v>16</v>
      </c>
      <c r="L3" s="82">
        <v>2.7</v>
      </c>
      <c r="M3" s="82">
        <v>4.2</v>
      </c>
      <c r="N3" s="36" t="s">
        <v>452</v>
      </c>
      <c r="O3" s="7"/>
      <c r="P3" s="7"/>
    </row>
    <row r="4" spans="1:16" s="8" customFormat="1" ht="26.4" x14ac:dyDescent="0.25">
      <c r="A4" s="140" t="s">
        <v>1307</v>
      </c>
      <c r="B4" s="140" t="s">
        <v>426</v>
      </c>
      <c r="C4" s="34" t="s">
        <v>21</v>
      </c>
      <c r="D4" s="35" t="s">
        <v>42</v>
      </c>
      <c r="E4" s="35">
        <v>1</v>
      </c>
      <c r="F4" s="46" t="s">
        <v>903</v>
      </c>
      <c r="G4" s="75">
        <v>1</v>
      </c>
      <c r="H4" s="73" t="s">
        <v>14</v>
      </c>
      <c r="I4" s="48">
        <v>17000</v>
      </c>
      <c r="J4" s="48">
        <v>17000</v>
      </c>
      <c r="K4" s="82">
        <v>16</v>
      </c>
      <c r="L4" s="82">
        <v>2.7</v>
      </c>
      <c r="M4" s="82">
        <v>4.2</v>
      </c>
      <c r="N4" s="36" t="s">
        <v>452</v>
      </c>
      <c r="O4" s="7"/>
      <c r="P4" s="7"/>
    </row>
    <row r="5" spans="1:16" s="8" customFormat="1" ht="26.4" x14ac:dyDescent="0.25">
      <c r="A5" s="140" t="s">
        <v>1307</v>
      </c>
      <c r="B5" s="140" t="s">
        <v>1012</v>
      </c>
      <c r="C5" s="34" t="s">
        <v>21</v>
      </c>
      <c r="D5" s="35" t="s">
        <v>966</v>
      </c>
      <c r="E5" s="35">
        <v>1</v>
      </c>
      <c r="F5" s="46" t="s">
        <v>1309</v>
      </c>
      <c r="G5" s="172">
        <v>1</v>
      </c>
      <c r="H5" s="73" t="s">
        <v>14</v>
      </c>
      <c r="I5" s="48">
        <v>17880</v>
      </c>
      <c r="J5" s="48">
        <v>17880</v>
      </c>
      <c r="K5" s="82">
        <v>16</v>
      </c>
      <c r="L5" s="82">
        <v>2.67</v>
      </c>
      <c r="M5" s="82">
        <v>4.2300000000000004</v>
      </c>
      <c r="N5" s="36" t="s">
        <v>452</v>
      </c>
      <c r="O5" s="7"/>
      <c r="P5" s="7"/>
    </row>
    <row r="6" spans="1:16" s="8" customFormat="1" ht="20.399999999999999" x14ac:dyDescent="0.25">
      <c r="A6" s="140" t="s">
        <v>1308</v>
      </c>
      <c r="B6" s="140" t="s">
        <v>426</v>
      </c>
      <c r="C6" s="34" t="s">
        <v>18</v>
      </c>
      <c r="D6" s="35" t="s">
        <v>42</v>
      </c>
      <c r="E6" s="35">
        <v>2</v>
      </c>
      <c r="F6" s="46" t="s">
        <v>904</v>
      </c>
      <c r="G6" s="75">
        <v>19</v>
      </c>
      <c r="H6" s="73" t="s">
        <v>14</v>
      </c>
      <c r="I6" s="48">
        <v>1600</v>
      </c>
      <c r="J6" s="48">
        <v>1640</v>
      </c>
      <c r="K6" s="82"/>
      <c r="L6" s="82"/>
      <c r="M6" s="82"/>
      <c r="N6" s="36" t="s">
        <v>10</v>
      </c>
      <c r="O6" s="7"/>
      <c r="P6" s="7"/>
    </row>
    <row r="7" spans="1:16" s="8" customFormat="1" ht="20.399999999999999" x14ac:dyDescent="0.25">
      <c r="A7" s="140" t="s">
        <v>1308</v>
      </c>
      <c r="B7" s="140" t="s">
        <v>366</v>
      </c>
      <c r="C7" s="34" t="s">
        <v>21</v>
      </c>
      <c r="D7" s="35" t="s">
        <v>50</v>
      </c>
      <c r="E7" s="35">
        <v>1</v>
      </c>
      <c r="F7" s="46" t="s">
        <v>905</v>
      </c>
      <c r="G7" s="75">
        <v>1</v>
      </c>
      <c r="H7" s="73" t="s">
        <v>14</v>
      </c>
      <c r="I7" s="48">
        <v>975</v>
      </c>
      <c r="J7" s="48">
        <v>975</v>
      </c>
      <c r="K7" s="82">
        <v>2.2000000000000002</v>
      </c>
      <c r="L7" s="82">
        <v>1.2</v>
      </c>
      <c r="M7" s="82">
        <v>2.2000000000000002</v>
      </c>
      <c r="N7" s="36" t="s">
        <v>85</v>
      </c>
      <c r="O7" s="7"/>
      <c r="P7" s="7"/>
    </row>
    <row r="8" spans="1:16" s="8" customFormat="1" ht="20.399999999999999" x14ac:dyDescent="0.25">
      <c r="A8" s="140" t="s">
        <v>1308</v>
      </c>
      <c r="B8" s="140" t="s">
        <v>366</v>
      </c>
      <c r="C8" s="34" t="s">
        <v>21</v>
      </c>
      <c r="D8" s="35" t="s">
        <v>44</v>
      </c>
      <c r="E8" s="35">
        <v>1</v>
      </c>
      <c r="F8" s="46" t="s">
        <v>655</v>
      </c>
      <c r="G8" s="75">
        <v>1</v>
      </c>
      <c r="H8" s="73" t="s">
        <v>14</v>
      </c>
      <c r="I8" s="48">
        <v>455</v>
      </c>
      <c r="J8" s="48">
        <v>455</v>
      </c>
      <c r="K8" s="82">
        <v>2.75</v>
      </c>
      <c r="L8" s="82">
        <v>1.86</v>
      </c>
      <c r="M8" s="82">
        <v>2.12</v>
      </c>
      <c r="N8" s="36" t="s">
        <v>85</v>
      </c>
      <c r="O8" s="7"/>
      <c r="P8" s="7"/>
    </row>
    <row r="9" spans="1:16" s="8" customFormat="1" ht="20.399999999999999" x14ac:dyDescent="0.25">
      <c r="A9" s="140" t="s">
        <v>1308</v>
      </c>
      <c r="B9" s="140" t="s">
        <v>366</v>
      </c>
      <c r="C9" s="34" t="s">
        <v>21</v>
      </c>
      <c r="D9" s="35" t="s">
        <v>44</v>
      </c>
      <c r="E9" s="35">
        <v>1</v>
      </c>
      <c r="F9" s="46" t="s">
        <v>656</v>
      </c>
      <c r="G9" s="75">
        <v>1</v>
      </c>
      <c r="H9" s="73" t="s">
        <v>14</v>
      </c>
      <c r="I9" s="48">
        <v>650</v>
      </c>
      <c r="J9" s="48">
        <v>650</v>
      </c>
      <c r="K9" s="82">
        <v>2.75</v>
      </c>
      <c r="L9" s="82">
        <v>1.86</v>
      </c>
      <c r="M9" s="82">
        <v>1.95</v>
      </c>
      <c r="N9" s="36" t="s">
        <v>85</v>
      </c>
      <c r="O9" s="7"/>
      <c r="P9" s="7"/>
    </row>
    <row r="10" spans="1:16" s="8" customFormat="1" ht="20.399999999999999" x14ac:dyDescent="0.25">
      <c r="A10" s="140" t="s">
        <v>1308</v>
      </c>
      <c r="B10" s="140" t="s">
        <v>366</v>
      </c>
      <c r="C10" s="34" t="s">
        <v>21</v>
      </c>
      <c r="D10" s="35" t="s">
        <v>44</v>
      </c>
      <c r="E10" s="35">
        <v>1</v>
      </c>
      <c r="F10" s="46" t="s">
        <v>657</v>
      </c>
      <c r="G10" s="75">
        <v>1</v>
      </c>
      <c r="H10" s="73" t="s">
        <v>14</v>
      </c>
      <c r="I10" s="48">
        <v>650</v>
      </c>
      <c r="J10" s="48">
        <v>650</v>
      </c>
      <c r="K10" s="82">
        <v>2.75</v>
      </c>
      <c r="L10" s="82">
        <v>1.86</v>
      </c>
      <c r="M10" s="82">
        <v>1.95</v>
      </c>
      <c r="N10" s="36" t="s">
        <v>85</v>
      </c>
      <c r="O10" s="7"/>
      <c r="P10" s="7"/>
    </row>
    <row r="11" spans="1:16" s="8" customFormat="1" ht="20.399999999999999" x14ac:dyDescent="0.25">
      <c r="A11" s="140" t="s">
        <v>1308</v>
      </c>
      <c r="B11" s="140" t="s">
        <v>366</v>
      </c>
      <c r="C11" s="34" t="s">
        <v>21</v>
      </c>
      <c r="D11" s="35" t="s">
        <v>44</v>
      </c>
      <c r="E11" s="35">
        <v>1</v>
      </c>
      <c r="F11" s="46" t="s">
        <v>658</v>
      </c>
      <c r="G11" s="75">
        <v>1</v>
      </c>
      <c r="H11" s="73" t="s">
        <v>14</v>
      </c>
      <c r="I11" s="48">
        <v>730</v>
      </c>
      <c r="J11" s="48">
        <v>730</v>
      </c>
      <c r="K11" s="82">
        <v>2.75</v>
      </c>
      <c r="L11" s="82">
        <v>1.86</v>
      </c>
      <c r="M11" s="82">
        <v>1.95</v>
      </c>
      <c r="N11" s="36" t="s">
        <v>85</v>
      </c>
      <c r="O11" s="7"/>
      <c r="P11" s="7"/>
    </row>
    <row r="12" spans="1:16" s="8" customFormat="1" ht="20.399999999999999" x14ac:dyDescent="0.25">
      <c r="A12" s="140" t="s">
        <v>1308</v>
      </c>
      <c r="B12" s="140" t="s">
        <v>366</v>
      </c>
      <c r="C12" s="34" t="s">
        <v>21</v>
      </c>
      <c r="D12" s="35" t="s">
        <v>44</v>
      </c>
      <c r="E12" s="35">
        <v>1</v>
      </c>
      <c r="F12" s="46" t="s">
        <v>659</v>
      </c>
      <c r="G12" s="75">
        <v>1</v>
      </c>
      <c r="H12" s="73" t="s">
        <v>14</v>
      </c>
      <c r="I12" s="48">
        <v>610</v>
      </c>
      <c r="J12" s="48">
        <v>610</v>
      </c>
      <c r="K12" s="82">
        <v>2</v>
      </c>
      <c r="L12" s="82">
        <v>2</v>
      </c>
      <c r="M12" s="82">
        <v>1.5</v>
      </c>
      <c r="N12" s="36" t="s">
        <v>85</v>
      </c>
      <c r="O12" s="7"/>
      <c r="P12" s="7"/>
    </row>
    <row r="13" spans="1:16" s="8" customFormat="1" ht="20.399999999999999" x14ac:dyDescent="0.25">
      <c r="A13" s="140" t="s">
        <v>1307</v>
      </c>
      <c r="B13" s="140" t="s">
        <v>426</v>
      </c>
      <c r="C13" s="34" t="s">
        <v>21</v>
      </c>
      <c r="D13" s="35" t="s">
        <v>44</v>
      </c>
      <c r="E13" s="35">
        <v>1</v>
      </c>
      <c r="F13" s="46" t="s">
        <v>660</v>
      </c>
      <c r="G13" s="75">
        <v>1</v>
      </c>
      <c r="H13" s="73" t="s">
        <v>14</v>
      </c>
      <c r="I13" s="48">
        <v>295</v>
      </c>
      <c r="J13" s="48">
        <v>295</v>
      </c>
      <c r="K13" s="82">
        <v>2.75</v>
      </c>
      <c r="L13" s="82">
        <v>1.86</v>
      </c>
      <c r="M13" s="82">
        <v>2.12</v>
      </c>
      <c r="N13" s="36" t="s">
        <v>85</v>
      </c>
      <c r="O13" s="7"/>
      <c r="P13" s="7"/>
    </row>
    <row r="14" spans="1:16" s="8" customFormat="1" ht="20.399999999999999" x14ac:dyDescent="0.25">
      <c r="A14" s="140" t="s">
        <v>1307</v>
      </c>
      <c r="B14" s="140" t="s">
        <v>426</v>
      </c>
      <c r="C14" s="34" t="s">
        <v>21</v>
      </c>
      <c r="D14" s="35" t="s">
        <v>44</v>
      </c>
      <c r="E14" s="35">
        <v>1</v>
      </c>
      <c r="F14" s="46" t="s">
        <v>661</v>
      </c>
      <c r="G14" s="75">
        <v>1</v>
      </c>
      <c r="H14" s="73" t="s">
        <v>14</v>
      </c>
      <c r="I14" s="48">
        <v>420</v>
      </c>
      <c r="J14" s="48">
        <v>420</v>
      </c>
      <c r="K14" s="82">
        <v>2.75</v>
      </c>
      <c r="L14" s="82">
        <v>1.86</v>
      </c>
      <c r="M14" s="82">
        <v>1.95</v>
      </c>
      <c r="N14" s="36" t="s">
        <v>85</v>
      </c>
      <c r="O14" s="7"/>
      <c r="P14" s="7"/>
    </row>
    <row r="15" spans="1:16" s="8" customFormat="1" ht="20.399999999999999" x14ac:dyDescent="0.25">
      <c r="A15" s="140" t="s">
        <v>1307</v>
      </c>
      <c r="B15" s="140" t="s">
        <v>426</v>
      </c>
      <c r="C15" s="34" t="s">
        <v>21</v>
      </c>
      <c r="D15" s="35" t="s">
        <v>44</v>
      </c>
      <c r="E15" s="35">
        <v>1</v>
      </c>
      <c r="F15" s="46" t="s">
        <v>662</v>
      </c>
      <c r="G15" s="75">
        <v>1</v>
      </c>
      <c r="H15" s="73" t="s">
        <v>14</v>
      </c>
      <c r="I15" s="48">
        <v>420</v>
      </c>
      <c r="J15" s="48">
        <v>420</v>
      </c>
      <c r="K15" s="82">
        <v>2.75</v>
      </c>
      <c r="L15" s="82">
        <v>1.86</v>
      </c>
      <c r="M15" s="82">
        <v>1.95</v>
      </c>
      <c r="N15" s="36" t="s">
        <v>85</v>
      </c>
      <c r="O15" s="7"/>
      <c r="P15" s="7"/>
    </row>
    <row r="16" spans="1:16" s="8" customFormat="1" ht="20.399999999999999" x14ac:dyDescent="0.25">
      <c r="A16" s="140" t="s">
        <v>1307</v>
      </c>
      <c r="B16" s="140" t="s">
        <v>426</v>
      </c>
      <c r="C16" s="34" t="s">
        <v>21</v>
      </c>
      <c r="D16" s="35" t="s">
        <v>44</v>
      </c>
      <c r="E16" s="35">
        <v>1</v>
      </c>
      <c r="F16" s="46" t="s">
        <v>663</v>
      </c>
      <c r="G16" s="75">
        <v>1</v>
      </c>
      <c r="H16" s="73" t="s">
        <v>14</v>
      </c>
      <c r="I16" s="48">
        <v>475</v>
      </c>
      <c r="J16" s="48">
        <v>475</v>
      </c>
      <c r="K16" s="82">
        <v>2.5499999999999998</v>
      </c>
      <c r="L16" s="82">
        <v>1.87</v>
      </c>
      <c r="M16" s="82">
        <v>1.95</v>
      </c>
      <c r="N16" s="36" t="s">
        <v>85</v>
      </c>
      <c r="O16" s="7"/>
      <c r="P16" s="7"/>
    </row>
    <row r="17" spans="1:16" s="8" customFormat="1" ht="20.399999999999999" x14ac:dyDescent="0.25">
      <c r="A17" s="140" t="s">
        <v>1307</v>
      </c>
      <c r="B17" s="140" t="s">
        <v>426</v>
      </c>
      <c r="C17" s="34" t="s">
        <v>21</v>
      </c>
      <c r="D17" s="35" t="s">
        <v>44</v>
      </c>
      <c r="E17" s="35">
        <v>1</v>
      </c>
      <c r="F17" s="46" t="s">
        <v>664</v>
      </c>
      <c r="G17" s="75">
        <v>1</v>
      </c>
      <c r="H17" s="73" t="s">
        <v>14</v>
      </c>
      <c r="I17" s="48">
        <v>500</v>
      </c>
      <c r="J17" s="48">
        <v>500</v>
      </c>
      <c r="K17" s="82">
        <v>2.02</v>
      </c>
      <c r="L17" s="82">
        <v>2.0099999999999998</v>
      </c>
      <c r="M17" s="82">
        <v>1.53</v>
      </c>
      <c r="N17" s="36" t="s">
        <v>85</v>
      </c>
      <c r="O17" s="7"/>
      <c r="P17" s="7"/>
    </row>
    <row r="18" spans="1:16" s="8" customFormat="1" ht="20.399999999999999" x14ac:dyDescent="0.25">
      <c r="A18" s="140" t="s">
        <v>1307</v>
      </c>
      <c r="B18" s="140" t="s">
        <v>426</v>
      </c>
      <c r="C18" s="34" t="s">
        <v>21</v>
      </c>
      <c r="D18" s="35" t="s">
        <v>45</v>
      </c>
      <c r="E18" s="35">
        <v>58</v>
      </c>
      <c r="F18" s="46" t="s">
        <v>906</v>
      </c>
      <c r="G18" s="74">
        <v>58</v>
      </c>
      <c r="H18" s="73" t="s">
        <v>14</v>
      </c>
      <c r="I18" s="48">
        <v>4640</v>
      </c>
      <c r="J18" s="48">
        <v>4640</v>
      </c>
      <c r="K18" s="82">
        <v>7.8</v>
      </c>
      <c r="L18" s="82">
        <v>2.2999999999999998</v>
      </c>
      <c r="M18" s="82">
        <v>2.39</v>
      </c>
      <c r="N18" s="36" t="s">
        <v>85</v>
      </c>
      <c r="O18" s="7"/>
      <c r="P18" s="7"/>
    </row>
    <row r="19" spans="1:16" s="8" customFormat="1" ht="20.399999999999999" x14ac:dyDescent="0.25">
      <c r="A19" s="186" t="s">
        <v>1308</v>
      </c>
      <c r="B19" s="186"/>
      <c r="C19" s="41" t="s">
        <v>21</v>
      </c>
      <c r="D19" s="40" t="s">
        <v>45</v>
      </c>
      <c r="E19" s="40">
        <v>58</v>
      </c>
      <c r="F19" s="49" t="s">
        <v>907</v>
      </c>
      <c r="G19" s="78">
        <v>58</v>
      </c>
      <c r="H19" s="77" t="s">
        <v>14</v>
      </c>
      <c r="I19" s="50">
        <v>5394</v>
      </c>
      <c r="J19" s="50">
        <v>5394</v>
      </c>
      <c r="K19" s="83">
        <v>7.8</v>
      </c>
      <c r="L19" s="83">
        <v>2.2999999999999998</v>
      </c>
      <c r="M19" s="83">
        <v>2.39</v>
      </c>
      <c r="N19" s="42"/>
      <c r="O19" s="7"/>
      <c r="P19" s="7"/>
    </row>
    <row r="20" spans="1:16" s="8" customFormat="1" ht="66" x14ac:dyDescent="0.25">
      <c r="A20" s="140" t="s">
        <v>1310</v>
      </c>
      <c r="B20" s="140" t="s">
        <v>81</v>
      </c>
      <c r="C20" s="34" t="s">
        <v>18</v>
      </c>
      <c r="D20" s="35" t="s">
        <v>198</v>
      </c>
      <c r="E20" s="35">
        <v>1</v>
      </c>
      <c r="F20" s="46" t="s">
        <v>138</v>
      </c>
      <c r="G20" s="72">
        <v>13</v>
      </c>
      <c r="H20" s="73" t="s">
        <v>14</v>
      </c>
      <c r="I20" s="48">
        <v>670</v>
      </c>
      <c r="J20" s="48">
        <v>690</v>
      </c>
      <c r="K20" s="82">
        <v>2.35</v>
      </c>
      <c r="L20" s="82">
        <v>0.82</v>
      </c>
      <c r="M20" s="82">
        <v>0.43</v>
      </c>
      <c r="N20" s="38" t="s">
        <v>452</v>
      </c>
    </row>
    <row r="21" spans="1:16" s="8" customFormat="1" ht="39.6" x14ac:dyDescent="0.25">
      <c r="A21" s="140" t="s">
        <v>1310</v>
      </c>
      <c r="B21" s="140" t="s">
        <v>426</v>
      </c>
      <c r="C21" s="34" t="s">
        <v>18</v>
      </c>
      <c r="D21" s="35" t="s">
        <v>1008</v>
      </c>
      <c r="E21" s="35">
        <v>1</v>
      </c>
      <c r="F21" s="46" t="s">
        <v>520</v>
      </c>
      <c r="G21" s="75">
        <v>11</v>
      </c>
      <c r="H21" s="73" t="s">
        <v>14</v>
      </c>
      <c r="I21" s="48">
        <v>430</v>
      </c>
      <c r="J21" s="48">
        <v>450</v>
      </c>
      <c r="K21" s="82">
        <v>3.4</v>
      </c>
      <c r="L21" s="82">
        <v>1</v>
      </c>
      <c r="M21" s="82">
        <v>0.5</v>
      </c>
      <c r="N21" s="38" t="s">
        <v>85</v>
      </c>
    </row>
    <row r="22" spans="1:16" s="8" customFormat="1" ht="20.399999999999999" x14ac:dyDescent="0.25">
      <c r="A22" s="140" t="s">
        <v>1310</v>
      </c>
      <c r="B22" s="140" t="s">
        <v>81</v>
      </c>
      <c r="C22" s="34" t="s">
        <v>20</v>
      </c>
      <c r="D22" s="35"/>
      <c r="E22" s="35">
        <v>1</v>
      </c>
      <c r="F22" s="46" t="s">
        <v>69</v>
      </c>
      <c r="G22" s="72">
        <v>25</v>
      </c>
      <c r="H22" s="76" t="s">
        <v>14</v>
      </c>
      <c r="I22" s="48">
        <v>740</v>
      </c>
      <c r="J22" s="48">
        <v>816</v>
      </c>
      <c r="K22" s="82">
        <v>1.45</v>
      </c>
      <c r="L22" s="82">
        <v>1.1000000000000001</v>
      </c>
      <c r="M22" s="82">
        <v>0.9</v>
      </c>
      <c r="N22" s="38" t="s">
        <v>452</v>
      </c>
    </row>
    <row r="23" spans="1:16" s="8" customFormat="1" ht="20.399999999999999" x14ac:dyDescent="0.25">
      <c r="A23" s="140" t="s">
        <v>1310</v>
      </c>
      <c r="B23" s="140" t="s">
        <v>81</v>
      </c>
      <c r="C23" s="34" t="s">
        <v>20</v>
      </c>
      <c r="D23" s="35"/>
      <c r="E23" s="35">
        <v>1</v>
      </c>
      <c r="F23" s="46" t="s">
        <v>70</v>
      </c>
      <c r="G23" s="72">
        <v>6</v>
      </c>
      <c r="H23" s="76" t="s">
        <v>14</v>
      </c>
      <c r="I23" s="48">
        <v>200</v>
      </c>
      <c r="J23" s="48">
        <v>226</v>
      </c>
      <c r="K23" s="82">
        <v>1.1499999999999999</v>
      </c>
      <c r="L23" s="82">
        <v>0.8</v>
      </c>
      <c r="M23" s="82">
        <v>0.76</v>
      </c>
      <c r="N23" s="38" t="s">
        <v>452</v>
      </c>
    </row>
    <row r="24" spans="1:16" s="8" customFormat="1" ht="20.399999999999999" x14ac:dyDescent="0.25">
      <c r="A24" s="140" t="s">
        <v>1310</v>
      </c>
      <c r="B24" s="140" t="s">
        <v>123</v>
      </c>
      <c r="C24" s="34" t="s">
        <v>21</v>
      </c>
      <c r="D24" s="35"/>
      <c r="E24" s="35">
        <v>1</v>
      </c>
      <c r="F24" s="46" t="s">
        <v>401</v>
      </c>
      <c r="G24" s="72">
        <v>1</v>
      </c>
      <c r="H24" s="76" t="s">
        <v>14</v>
      </c>
      <c r="I24" s="48">
        <v>18670</v>
      </c>
      <c r="J24" s="48">
        <v>18670</v>
      </c>
      <c r="K24" s="84">
        <v>7.24</v>
      </c>
      <c r="L24" s="84">
        <v>3.48</v>
      </c>
      <c r="M24" s="84">
        <v>3.44</v>
      </c>
      <c r="N24" s="38" t="s">
        <v>452</v>
      </c>
    </row>
    <row r="25" spans="1:16" s="8" customFormat="1" ht="26.4" x14ac:dyDescent="0.25">
      <c r="A25" s="140" t="s">
        <v>1310</v>
      </c>
      <c r="B25" s="140" t="s">
        <v>122</v>
      </c>
      <c r="C25" s="34" t="s">
        <v>21</v>
      </c>
      <c r="D25" s="35" t="s">
        <v>52</v>
      </c>
      <c r="E25" s="35">
        <v>1</v>
      </c>
      <c r="F25" s="46" t="s">
        <v>188</v>
      </c>
      <c r="G25" s="72">
        <v>1</v>
      </c>
      <c r="H25" s="76" t="s">
        <v>14</v>
      </c>
      <c r="I25" s="48">
        <v>25000</v>
      </c>
      <c r="J25" s="48">
        <v>25000</v>
      </c>
      <c r="K25" s="84">
        <v>9.75</v>
      </c>
      <c r="L25" s="84">
        <v>3.7</v>
      </c>
      <c r="M25" s="84">
        <v>4</v>
      </c>
      <c r="N25" s="38" t="s">
        <v>452</v>
      </c>
    </row>
    <row r="26" spans="1:16" s="8" customFormat="1" ht="26.4" x14ac:dyDescent="0.25">
      <c r="A26" s="140" t="s">
        <v>1310</v>
      </c>
      <c r="B26" s="140" t="s">
        <v>426</v>
      </c>
      <c r="C26" s="34" t="s">
        <v>21</v>
      </c>
      <c r="D26" s="35" t="s">
        <v>52</v>
      </c>
      <c r="E26" s="35">
        <v>1</v>
      </c>
      <c r="F26" s="46" t="s">
        <v>480</v>
      </c>
      <c r="G26" s="75">
        <v>1</v>
      </c>
      <c r="H26" s="73" t="s">
        <v>14</v>
      </c>
      <c r="I26" s="51">
        <v>25000</v>
      </c>
      <c r="J26" s="48">
        <v>25000</v>
      </c>
      <c r="K26" s="82">
        <v>9.77</v>
      </c>
      <c r="L26" s="82">
        <v>3.72</v>
      </c>
      <c r="M26" s="82">
        <v>4.03</v>
      </c>
      <c r="N26" s="38" t="s">
        <v>452</v>
      </c>
    </row>
    <row r="27" spans="1:16" s="8" customFormat="1" ht="20.399999999999999" x14ac:dyDescent="0.25">
      <c r="A27" s="140" t="s">
        <v>1310</v>
      </c>
      <c r="B27" s="140" t="s">
        <v>368</v>
      </c>
      <c r="C27" s="34" t="s">
        <v>21</v>
      </c>
      <c r="D27" s="35" t="s">
        <v>52</v>
      </c>
      <c r="E27" s="35">
        <v>1</v>
      </c>
      <c r="F27" s="123" t="s">
        <v>400</v>
      </c>
      <c r="G27" s="75">
        <v>1</v>
      </c>
      <c r="H27" s="73" t="s">
        <v>14</v>
      </c>
      <c r="I27" s="48">
        <v>22000</v>
      </c>
      <c r="J27" s="48">
        <v>22000</v>
      </c>
      <c r="K27" s="84">
        <v>8.4499999999999993</v>
      </c>
      <c r="L27" s="84">
        <v>3.61</v>
      </c>
      <c r="M27" s="84">
        <v>3.37</v>
      </c>
      <c r="N27" s="38" t="s">
        <v>369</v>
      </c>
    </row>
    <row r="28" spans="1:16" s="8" customFormat="1" ht="26.4" x14ac:dyDescent="0.25">
      <c r="A28" s="140" t="s">
        <v>1308</v>
      </c>
      <c r="B28" s="140" t="s">
        <v>368</v>
      </c>
      <c r="C28" s="34" t="s">
        <v>21</v>
      </c>
      <c r="D28" s="35" t="s">
        <v>53</v>
      </c>
      <c r="E28" s="35">
        <v>1</v>
      </c>
      <c r="F28" s="46" t="s">
        <v>1576</v>
      </c>
      <c r="G28" s="72">
        <v>1</v>
      </c>
      <c r="H28" s="76" t="s">
        <v>14</v>
      </c>
      <c r="I28" s="48">
        <v>370</v>
      </c>
      <c r="J28" s="48">
        <v>370</v>
      </c>
      <c r="K28" s="82">
        <v>1.24</v>
      </c>
      <c r="L28" s="82">
        <v>0.4</v>
      </c>
      <c r="M28" s="82">
        <v>0.4</v>
      </c>
      <c r="N28" s="38" t="s">
        <v>85</v>
      </c>
    </row>
    <row r="29" spans="1:16" s="8" customFormat="1" ht="30.6" x14ac:dyDescent="0.25">
      <c r="A29" s="140" t="s">
        <v>1311</v>
      </c>
      <c r="B29" s="140" t="s">
        <v>1011</v>
      </c>
      <c r="C29" s="34" t="s">
        <v>21</v>
      </c>
      <c r="D29" s="35" t="s">
        <v>53</v>
      </c>
      <c r="E29" s="35">
        <v>1</v>
      </c>
      <c r="F29" s="46" t="s">
        <v>1576</v>
      </c>
      <c r="G29" s="72">
        <v>1</v>
      </c>
      <c r="H29" s="76" t="s">
        <v>14</v>
      </c>
      <c r="I29" s="48">
        <v>392</v>
      </c>
      <c r="J29" s="48">
        <v>392</v>
      </c>
      <c r="K29" s="82">
        <v>1.24</v>
      </c>
      <c r="L29" s="82">
        <v>0.4</v>
      </c>
      <c r="M29" s="82">
        <v>0.4</v>
      </c>
      <c r="N29" s="38" t="s">
        <v>85</v>
      </c>
    </row>
    <row r="30" spans="1:16" s="8" customFormat="1" ht="26.4" x14ac:dyDescent="0.25">
      <c r="A30" s="140" t="s">
        <v>1307</v>
      </c>
      <c r="B30" s="140" t="s">
        <v>122</v>
      </c>
      <c r="C30" s="34" t="s">
        <v>21</v>
      </c>
      <c r="D30" s="35" t="s">
        <v>53</v>
      </c>
      <c r="E30" s="35">
        <v>1</v>
      </c>
      <c r="F30" s="46" t="s">
        <v>1577</v>
      </c>
      <c r="G30" s="72">
        <v>1</v>
      </c>
      <c r="H30" s="76" t="s">
        <v>14</v>
      </c>
      <c r="I30" s="48">
        <v>370</v>
      </c>
      <c r="J30" s="48">
        <v>370</v>
      </c>
      <c r="K30" s="82">
        <v>1.24</v>
      </c>
      <c r="L30" s="82">
        <v>0.4</v>
      </c>
      <c r="M30" s="82">
        <v>0.4</v>
      </c>
      <c r="N30" s="38" t="s">
        <v>452</v>
      </c>
    </row>
    <row r="31" spans="1:16" s="8" customFormat="1" ht="20.399999999999999" x14ac:dyDescent="0.25">
      <c r="A31" s="140" t="s">
        <v>1310</v>
      </c>
      <c r="B31" s="140" t="s">
        <v>122</v>
      </c>
      <c r="C31" s="34" t="s">
        <v>21</v>
      </c>
      <c r="D31" s="35" t="s">
        <v>53</v>
      </c>
      <c r="E31" s="35">
        <v>1</v>
      </c>
      <c r="F31" s="46" t="s">
        <v>964</v>
      </c>
      <c r="G31" s="72">
        <v>1</v>
      </c>
      <c r="H31" s="76" t="s">
        <v>14</v>
      </c>
      <c r="I31" s="48">
        <v>60</v>
      </c>
      <c r="J31" s="48">
        <v>60</v>
      </c>
      <c r="K31" s="82">
        <v>0.85</v>
      </c>
      <c r="L31" s="82">
        <v>0.51</v>
      </c>
      <c r="M31" s="82">
        <v>0.6</v>
      </c>
      <c r="N31" s="38" t="s">
        <v>452</v>
      </c>
    </row>
    <row r="32" spans="1:16" s="8" customFormat="1" ht="20.399999999999999" x14ac:dyDescent="0.25">
      <c r="A32" s="140" t="s">
        <v>1312</v>
      </c>
      <c r="B32" s="140" t="s">
        <v>122</v>
      </c>
      <c r="C32" s="34" t="s">
        <v>21</v>
      </c>
      <c r="D32" s="35" t="s">
        <v>53</v>
      </c>
      <c r="E32" s="35">
        <v>1</v>
      </c>
      <c r="F32" s="46" t="s">
        <v>964</v>
      </c>
      <c r="G32" s="72">
        <v>1</v>
      </c>
      <c r="H32" s="76" t="s">
        <v>14</v>
      </c>
      <c r="I32" s="48">
        <v>50</v>
      </c>
      <c r="J32" s="48">
        <v>50</v>
      </c>
      <c r="K32" s="82">
        <v>0.54</v>
      </c>
      <c r="L32" s="82">
        <v>0.54</v>
      </c>
      <c r="M32" s="82">
        <v>0.54</v>
      </c>
      <c r="N32" s="38" t="s">
        <v>125</v>
      </c>
    </row>
    <row r="33" spans="1:14" s="8" customFormat="1" ht="26.4" x14ac:dyDescent="0.25">
      <c r="A33" s="140" t="s">
        <v>1307</v>
      </c>
      <c r="B33" s="140" t="s">
        <v>366</v>
      </c>
      <c r="C33" s="34" t="s">
        <v>21</v>
      </c>
      <c r="D33" s="35" t="s">
        <v>53</v>
      </c>
      <c r="E33" s="35">
        <v>1</v>
      </c>
      <c r="F33" s="46" t="s">
        <v>802</v>
      </c>
      <c r="G33" s="72">
        <v>1</v>
      </c>
      <c r="H33" s="76" t="s">
        <v>14</v>
      </c>
      <c r="I33" s="48">
        <v>40</v>
      </c>
      <c r="J33" s="48">
        <v>40</v>
      </c>
      <c r="K33" s="82">
        <v>0.85</v>
      </c>
      <c r="L33" s="82">
        <v>0.5</v>
      </c>
      <c r="M33" s="82">
        <v>0.5</v>
      </c>
      <c r="N33" s="38" t="s">
        <v>85</v>
      </c>
    </row>
    <row r="34" spans="1:14" s="8" customFormat="1" ht="26.4" x14ac:dyDescent="0.25">
      <c r="A34" s="140" t="s">
        <v>1307</v>
      </c>
      <c r="B34" s="140" t="s">
        <v>366</v>
      </c>
      <c r="C34" s="34" t="s">
        <v>21</v>
      </c>
      <c r="D34" s="35" t="s">
        <v>53</v>
      </c>
      <c r="E34" s="35">
        <v>1</v>
      </c>
      <c r="F34" s="46" t="s">
        <v>803</v>
      </c>
      <c r="G34" s="72">
        <v>1</v>
      </c>
      <c r="H34" s="76" t="s">
        <v>14</v>
      </c>
      <c r="I34" s="48">
        <v>35</v>
      </c>
      <c r="J34" s="48">
        <v>35</v>
      </c>
      <c r="K34" s="82">
        <v>0.56999999999999995</v>
      </c>
      <c r="L34" s="82">
        <v>0.54</v>
      </c>
      <c r="M34" s="82">
        <v>0.54</v>
      </c>
      <c r="N34" s="38" t="s">
        <v>85</v>
      </c>
    </row>
    <row r="35" spans="1:14" s="8" customFormat="1" ht="26.4" x14ac:dyDescent="0.25">
      <c r="A35" s="140" t="s">
        <v>1308</v>
      </c>
      <c r="B35" s="140" t="s">
        <v>366</v>
      </c>
      <c r="C35" s="34" t="s">
        <v>21</v>
      </c>
      <c r="D35" s="35" t="s">
        <v>53</v>
      </c>
      <c r="E35" s="35">
        <v>1</v>
      </c>
      <c r="F35" s="46" t="s">
        <v>804</v>
      </c>
      <c r="G35" s="72">
        <v>1</v>
      </c>
      <c r="H35" s="76" t="s">
        <v>14</v>
      </c>
      <c r="I35" s="48">
        <v>60</v>
      </c>
      <c r="J35" s="48">
        <v>60</v>
      </c>
      <c r="K35" s="82">
        <v>0.95</v>
      </c>
      <c r="L35" s="82">
        <v>0.6</v>
      </c>
      <c r="M35" s="82">
        <v>0.6</v>
      </c>
      <c r="N35" s="38" t="s">
        <v>85</v>
      </c>
    </row>
    <row r="36" spans="1:14" s="8" customFormat="1" ht="20.399999999999999" x14ac:dyDescent="0.25">
      <c r="A36" s="140" t="s">
        <v>1308</v>
      </c>
      <c r="B36" s="140" t="s">
        <v>366</v>
      </c>
      <c r="C36" s="34" t="s">
        <v>21</v>
      </c>
      <c r="D36" s="35" t="s">
        <v>53</v>
      </c>
      <c r="E36" s="35">
        <v>2</v>
      </c>
      <c r="F36" s="46" t="s">
        <v>367</v>
      </c>
      <c r="G36" s="72">
        <v>2</v>
      </c>
      <c r="H36" s="76" t="s">
        <v>14</v>
      </c>
      <c r="I36" s="48">
        <v>538</v>
      </c>
      <c r="J36" s="48">
        <v>538</v>
      </c>
      <c r="K36" s="82"/>
      <c r="L36" s="82"/>
      <c r="M36" s="82"/>
      <c r="N36" s="38" t="s">
        <v>85</v>
      </c>
    </row>
    <row r="37" spans="1:14" s="8" customFormat="1" ht="20.399999999999999" x14ac:dyDescent="0.25">
      <c r="A37" s="140" t="s">
        <v>1313</v>
      </c>
      <c r="B37" s="140" t="s">
        <v>426</v>
      </c>
      <c r="C37" s="34" t="s">
        <v>21</v>
      </c>
      <c r="D37" s="35" t="s">
        <v>53</v>
      </c>
      <c r="E37" s="35">
        <v>1</v>
      </c>
      <c r="F37" s="46" t="s">
        <v>443</v>
      </c>
      <c r="G37" s="75">
        <v>1</v>
      </c>
      <c r="H37" s="73" t="s">
        <v>396</v>
      </c>
      <c r="I37" s="51">
        <v>215</v>
      </c>
      <c r="J37" s="48">
        <v>215</v>
      </c>
      <c r="K37" s="82"/>
      <c r="L37" s="82"/>
      <c r="M37" s="82"/>
      <c r="N37" s="38" t="s">
        <v>85</v>
      </c>
    </row>
    <row r="38" spans="1:14" s="8" customFormat="1" ht="20.399999999999999" x14ac:dyDescent="0.25">
      <c r="A38" s="140" t="s">
        <v>1313</v>
      </c>
      <c r="B38" s="140" t="s">
        <v>426</v>
      </c>
      <c r="C38" s="34" t="s">
        <v>21</v>
      </c>
      <c r="D38" s="35" t="s">
        <v>53</v>
      </c>
      <c r="E38" s="35">
        <v>1</v>
      </c>
      <c r="F38" s="46" t="s">
        <v>444</v>
      </c>
      <c r="G38" s="75">
        <v>2</v>
      </c>
      <c r="H38" s="73" t="s">
        <v>396</v>
      </c>
      <c r="I38" s="51">
        <v>215</v>
      </c>
      <c r="J38" s="48">
        <v>215</v>
      </c>
      <c r="K38" s="82"/>
      <c r="L38" s="82"/>
      <c r="M38" s="82"/>
      <c r="N38" s="38" t="s">
        <v>85</v>
      </c>
    </row>
    <row r="39" spans="1:14" s="8" customFormat="1" ht="20.399999999999999" x14ac:dyDescent="0.25">
      <c r="A39" s="140" t="s">
        <v>1313</v>
      </c>
      <c r="B39" s="140" t="s">
        <v>426</v>
      </c>
      <c r="C39" s="34" t="s">
        <v>21</v>
      </c>
      <c r="D39" s="35" t="s">
        <v>53</v>
      </c>
      <c r="E39" s="35">
        <v>1</v>
      </c>
      <c r="F39" s="46" t="s">
        <v>445</v>
      </c>
      <c r="G39" s="75">
        <v>1</v>
      </c>
      <c r="H39" s="73" t="s">
        <v>396</v>
      </c>
      <c r="I39" s="51">
        <v>270</v>
      </c>
      <c r="J39" s="48">
        <v>270</v>
      </c>
      <c r="K39" s="82"/>
      <c r="L39" s="82"/>
      <c r="M39" s="82"/>
      <c r="N39" s="38" t="s">
        <v>85</v>
      </c>
    </row>
    <row r="40" spans="1:14" s="8" customFormat="1" ht="20.399999999999999" x14ac:dyDescent="0.25">
      <c r="A40" s="140" t="s">
        <v>1310</v>
      </c>
      <c r="B40" s="140" t="s">
        <v>426</v>
      </c>
      <c r="C40" s="34" t="s">
        <v>21</v>
      </c>
      <c r="D40" s="35" t="s">
        <v>52</v>
      </c>
      <c r="E40" s="35">
        <v>1</v>
      </c>
      <c r="F40" s="46" t="s">
        <v>560</v>
      </c>
      <c r="G40" s="75">
        <v>1</v>
      </c>
      <c r="H40" s="73" t="s">
        <v>14</v>
      </c>
      <c r="I40" s="48">
        <v>50</v>
      </c>
      <c r="J40" s="48">
        <v>50</v>
      </c>
      <c r="K40" s="82">
        <v>0.82</v>
      </c>
      <c r="L40" s="82">
        <v>0.82</v>
      </c>
      <c r="M40" s="82">
        <v>0.85</v>
      </c>
      <c r="N40" s="37" t="s">
        <v>85</v>
      </c>
    </row>
    <row r="41" spans="1:14" s="8" customFormat="1" ht="26.4" x14ac:dyDescent="0.25">
      <c r="A41" s="140" t="s">
        <v>1308</v>
      </c>
      <c r="B41" s="140" t="s">
        <v>81</v>
      </c>
      <c r="C41" s="34" t="s">
        <v>21</v>
      </c>
      <c r="D41" s="35" t="s">
        <v>12</v>
      </c>
      <c r="E41" s="35">
        <v>1</v>
      </c>
      <c r="F41" s="46" t="s">
        <v>1314</v>
      </c>
      <c r="G41" s="72">
        <v>1</v>
      </c>
      <c r="H41" s="76" t="s">
        <v>14</v>
      </c>
      <c r="I41" s="48">
        <v>438</v>
      </c>
      <c r="J41" s="48">
        <v>460</v>
      </c>
      <c r="K41" s="82">
        <v>0.8</v>
      </c>
      <c r="L41" s="82">
        <v>0.6</v>
      </c>
      <c r="M41" s="82">
        <v>0.65</v>
      </c>
      <c r="N41" s="37" t="s">
        <v>452</v>
      </c>
    </row>
    <row r="42" spans="1:14" s="8" customFormat="1" ht="26.4" x14ac:dyDescent="0.25">
      <c r="A42" s="140" t="s">
        <v>1308</v>
      </c>
      <c r="B42" s="140" t="s">
        <v>366</v>
      </c>
      <c r="C42" s="34" t="s">
        <v>21</v>
      </c>
      <c r="D42" s="35" t="s">
        <v>12</v>
      </c>
      <c r="E42" s="35">
        <v>1</v>
      </c>
      <c r="F42" s="46" t="s">
        <v>1314</v>
      </c>
      <c r="G42" s="72">
        <v>1</v>
      </c>
      <c r="H42" s="76" t="s">
        <v>14</v>
      </c>
      <c r="I42" s="48">
        <v>445</v>
      </c>
      <c r="J42" s="48">
        <v>460</v>
      </c>
      <c r="K42" s="82">
        <v>0.8</v>
      </c>
      <c r="L42" s="82">
        <v>0.6</v>
      </c>
      <c r="M42" s="82">
        <v>0.65</v>
      </c>
      <c r="N42" s="37" t="s">
        <v>85</v>
      </c>
    </row>
    <row r="43" spans="1:14" s="8" customFormat="1" ht="20.399999999999999" x14ac:dyDescent="0.25">
      <c r="A43" s="140" t="s">
        <v>1308</v>
      </c>
      <c r="B43" s="140" t="s">
        <v>426</v>
      </c>
      <c r="C43" s="34" t="s">
        <v>18</v>
      </c>
      <c r="D43" s="35" t="s">
        <v>12</v>
      </c>
      <c r="E43" s="35">
        <v>1</v>
      </c>
      <c r="F43" s="46" t="s">
        <v>511</v>
      </c>
      <c r="G43" s="128">
        <v>1</v>
      </c>
      <c r="H43" s="129" t="s">
        <v>14</v>
      </c>
      <c r="I43" s="48">
        <v>460</v>
      </c>
      <c r="J43" s="48">
        <v>460</v>
      </c>
      <c r="K43" s="82">
        <v>0.8</v>
      </c>
      <c r="L43" s="82">
        <v>0.8</v>
      </c>
      <c r="M43" s="82">
        <v>0.65</v>
      </c>
      <c r="N43" s="37" t="s">
        <v>85</v>
      </c>
    </row>
    <row r="44" spans="1:14" s="8" customFormat="1" ht="20.399999999999999" x14ac:dyDescent="0.25">
      <c r="A44" s="140" t="s">
        <v>1310</v>
      </c>
      <c r="B44" s="140" t="s">
        <v>157</v>
      </c>
      <c r="C44" s="34" t="s">
        <v>21</v>
      </c>
      <c r="D44" s="35" t="s">
        <v>52</v>
      </c>
      <c r="E44" s="35">
        <v>1</v>
      </c>
      <c r="F44" s="46" t="s">
        <v>156</v>
      </c>
      <c r="G44" s="72">
        <v>1</v>
      </c>
      <c r="H44" s="76" t="s">
        <v>14</v>
      </c>
      <c r="I44" s="48">
        <v>500</v>
      </c>
      <c r="J44" s="48">
        <v>500</v>
      </c>
      <c r="K44" s="82">
        <v>2.85</v>
      </c>
      <c r="L44" s="82">
        <v>0.97</v>
      </c>
      <c r="M44" s="82">
        <v>0.3</v>
      </c>
      <c r="N44" s="37" t="s">
        <v>85</v>
      </c>
    </row>
    <row r="45" spans="1:14" s="8" customFormat="1" ht="13.8" x14ac:dyDescent="0.25">
      <c r="A45" s="140" t="s">
        <v>1310</v>
      </c>
      <c r="B45" s="190"/>
      <c r="C45" s="34" t="s">
        <v>18</v>
      </c>
      <c r="D45" s="35" t="s">
        <v>46</v>
      </c>
      <c r="E45" s="35">
        <v>1</v>
      </c>
      <c r="F45" s="46" t="s">
        <v>47</v>
      </c>
      <c r="G45" s="72">
        <v>1</v>
      </c>
      <c r="H45" s="76" t="s">
        <v>14</v>
      </c>
      <c r="I45" s="48">
        <v>265</v>
      </c>
      <c r="J45" s="48">
        <v>300</v>
      </c>
      <c r="K45" s="82">
        <v>1.5</v>
      </c>
      <c r="L45" s="82">
        <v>1.5</v>
      </c>
      <c r="M45" s="82">
        <v>0.4</v>
      </c>
      <c r="N45" s="38" t="s">
        <v>10</v>
      </c>
    </row>
    <row r="46" spans="1:14" s="8" customFormat="1" ht="13.8" x14ac:dyDescent="0.25">
      <c r="A46" s="140" t="s">
        <v>1310</v>
      </c>
      <c r="B46" s="190"/>
      <c r="C46" s="34" t="s">
        <v>18</v>
      </c>
      <c r="D46" s="35" t="s">
        <v>46</v>
      </c>
      <c r="E46" s="35">
        <v>1</v>
      </c>
      <c r="F46" s="46" t="s">
        <v>48</v>
      </c>
      <c r="G46" s="72">
        <v>1</v>
      </c>
      <c r="H46" s="76" t="s">
        <v>14</v>
      </c>
      <c r="I46" s="48">
        <v>265</v>
      </c>
      <c r="J46" s="48">
        <v>300</v>
      </c>
      <c r="K46" s="82">
        <v>1.5</v>
      </c>
      <c r="L46" s="82">
        <v>1.5</v>
      </c>
      <c r="M46" s="82">
        <v>0.4</v>
      </c>
      <c r="N46" s="38" t="s">
        <v>10</v>
      </c>
    </row>
    <row r="47" spans="1:14" s="8" customFormat="1" ht="13.8" x14ac:dyDescent="0.25">
      <c r="A47" s="140" t="s">
        <v>1310</v>
      </c>
      <c r="B47" s="190"/>
      <c r="C47" s="34" t="s">
        <v>18</v>
      </c>
      <c r="D47" s="35" t="s">
        <v>46</v>
      </c>
      <c r="E47" s="35">
        <v>1</v>
      </c>
      <c r="F47" s="46" t="s">
        <v>49</v>
      </c>
      <c r="G47" s="72">
        <v>1</v>
      </c>
      <c r="H47" s="76" t="s">
        <v>14</v>
      </c>
      <c r="I47" s="48">
        <v>265</v>
      </c>
      <c r="J47" s="48">
        <v>300</v>
      </c>
      <c r="K47" s="82">
        <v>1.5</v>
      </c>
      <c r="L47" s="82">
        <v>1.5</v>
      </c>
      <c r="M47" s="82">
        <v>0.4</v>
      </c>
      <c r="N47" s="38" t="s">
        <v>10</v>
      </c>
    </row>
    <row r="48" spans="1:14" s="8" customFormat="1" ht="20.399999999999999" x14ac:dyDescent="0.25">
      <c r="A48" s="140" t="s">
        <v>1310</v>
      </c>
      <c r="B48" s="140" t="s">
        <v>426</v>
      </c>
      <c r="C48" s="34" t="s">
        <v>18</v>
      </c>
      <c r="D48" s="35" t="s">
        <v>46</v>
      </c>
      <c r="E48" s="35">
        <v>1</v>
      </c>
      <c r="F48" s="46" t="s">
        <v>516</v>
      </c>
      <c r="G48" s="75">
        <v>1</v>
      </c>
      <c r="H48" s="76" t="s">
        <v>14</v>
      </c>
      <c r="I48" s="48">
        <v>555</v>
      </c>
      <c r="J48" s="48">
        <v>575</v>
      </c>
      <c r="K48" s="82">
        <v>1.5</v>
      </c>
      <c r="L48" s="82">
        <v>1.5</v>
      </c>
      <c r="M48" s="82">
        <v>0.4</v>
      </c>
      <c r="N48" s="38" t="s">
        <v>85</v>
      </c>
    </row>
    <row r="49" spans="1:14" s="8" customFormat="1" ht="20.399999999999999" x14ac:dyDescent="0.25">
      <c r="A49" s="140" t="s">
        <v>1310</v>
      </c>
      <c r="B49" s="140" t="s">
        <v>426</v>
      </c>
      <c r="C49" s="34" t="s">
        <v>18</v>
      </c>
      <c r="D49" s="35" t="s">
        <v>46</v>
      </c>
      <c r="E49" s="35">
        <v>1</v>
      </c>
      <c r="F49" s="46" t="s">
        <v>517</v>
      </c>
      <c r="G49" s="75">
        <v>1</v>
      </c>
      <c r="H49" s="76" t="s">
        <v>14</v>
      </c>
      <c r="I49" s="48">
        <v>500</v>
      </c>
      <c r="J49" s="48">
        <v>520</v>
      </c>
      <c r="K49" s="82">
        <v>1.5</v>
      </c>
      <c r="L49" s="82">
        <v>1.5</v>
      </c>
      <c r="M49" s="82">
        <v>0.4</v>
      </c>
      <c r="N49" s="38" t="s">
        <v>85</v>
      </c>
    </row>
    <row r="50" spans="1:14" s="8" customFormat="1" ht="20.399999999999999" x14ac:dyDescent="0.25">
      <c r="A50" s="140" t="s">
        <v>1310</v>
      </c>
      <c r="B50" s="140" t="s">
        <v>426</v>
      </c>
      <c r="C50" s="34" t="s">
        <v>18</v>
      </c>
      <c r="D50" s="35" t="s">
        <v>46</v>
      </c>
      <c r="E50" s="35">
        <v>1</v>
      </c>
      <c r="F50" s="46" t="s">
        <v>518</v>
      </c>
      <c r="G50" s="75">
        <v>1</v>
      </c>
      <c r="H50" s="76" t="s">
        <v>14</v>
      </c>
      <c r="I50" s="48">
        <v>555</v>
      </c>
      <c r="J50" s="48">
        <v>575</v>
      </c>
      <c r="K50" s="82">
        <v>1.5</v>
      </c>
      <c r="L50" s="82">
        <v>1.5</v>
      </c>
      <c r="M50" s="82">
        <v>0.4</v>
      </c>
      <c r="N50" s="38" t="s">
        <v>85</v>
      </c>
    </row>
    <row r="51" spans="1:14" s="8" customFormat="1" ht="20.399999999999999" x14ac:dyDescent="0.25">
      <c r="A51" s="140" t="s">
        <v>1315</v>
      </c>
      <c r="B51" s="140" t="s">
        <v>426</v>
      </c>
      <c r="C51" s="34" t="s">
        <v>21</v>
      </c>
      <c r="D51" s="35" t="s">
        <v>36</v>
      </c>
      <c r="E51" s="35">
        <v>1</v>
      </c>
      <c r="F51" s="46" t="s">
        <v>37</v>
      </c>
      <c r="G51" s="72">
        <v>1</v>
      </c>
      <c r="H51" s="76" t="s">
        <v>14</v>
      </c>
      <c r="I51" s="48">
        <v>430</v>
      </c>
      <c r="J51" s="48">
        <v>430</v>
      </c>
      <c r="K51" s="82">
        <v>4.5</v>
      </c>
      <c r="L51" s="82">
        <v>1.2</v>
      </c>
      <c r="M51" s="82">
        <v>1.2</v>
      </c>
      <c r="N51" s="38" t="s">
        <v>1</v>
      </c>
    </row>
    <row r="52" spans="1:14" s="8" customFormat="1" ht="20.399999999999999" x14ac:dyDescent="0.25">
      <c r="A52" s="140" t="s">
        <v>1315</v>
      </c>
      <c r="B52" s="140" t="s">
        <v>426</v>
      </c>
      <c r="C52" s="34" t="s">
        <v>21</v>
      </c>
      <c r="D52" s="35" t="s">
        <v>38</v>
      </c>
      <c r="E52" s="35">
        <v>1</v>
      </c>
      <c r="F52" s="46" t="s">
        <v>39</v>
      </c>
      <c r="G52" s="72">
        <v>1</v>
      </c>
      <c r="H52" s="76" t="s">
        <v>14</v>
      </c>
      <c r="I52" s="48">
        <v>430</v>
      </c>
      <c r="J52" s="48">
        <v>430</v>
      </c>
      <c r="K52" s="82">
        <v>4.5999999999999996</v>
      </c>
      <c r="L52" s="82">
        <v>1.9</v>
      </c>
      <c r="M52" s="82">
        <v>1.5</v>
      </c>
      <c r="N52" s="38" t="s">
        <v>1</v>
      </c>
    </row>
    <row r="53" spans="1:14" s="8" customFormat="1" ht="20.399999999999999" x14ac:dyDescent="0.25">
      <c r="A53" s="140" t="s">
        <v>1312</v>
      </c>
      <c r="B53" s="140" t="s">
        <v>426</v>
      </c>
      <c r="C53" s="34" t="s">
        <v>21</v>
      </c>
      <c r="D53" s="35" t="s">
        <v>23</v>
      </c>
      <c r="E53" s="35">
        <v>1</v>
      </c>
      <c r="F53" s="46" t="s">
        <v>476</v>
      </c>
      <c r="G53" s="75">
        <v>1</v>
      </c>
      <c r="H53" s="73" t="s">
        <v>14</v>
      </c>
      <c r="I53" s="48">
        <v>182</v>
      </c>
      <c r="J53" s="48">
        <v>182</v>
      </c>
      <c r="K53" s="82">
        <v>3.5</v>
      </c>
      <c r="L53" s="82">
        <v>0.8</v>
      </c>
      <c r="M53" s="82">
        <v>0.8</v>
      </c>
      <c r="N53" s="38" t="s">
        <v>416</v>
      </c>
    </row>
    <row r="54" spans="1:14" s="8" customFormat="1" ht="26.4" x14ac:dyDescent="0.25">
      <c r="A54" s="140" t="s">
        <v>1312</v>
      </c>
      <c r="B54" s="140" t="s">
        <v>154</v>
      </c>
      <c r="C54" s="34" t="s">
        <v>21</v>
      </c>
      <c r="D54" s="35" t="s">
        <v>57</v>
      </c>
      <c r="E54" s="35">
        <v>1</v>
      </c>
      <c r="F54" s="46" t="s">
        <v>159</v>
      </c>
      <c r="G54" s="72">
        <v>1</v>
      </c>
      <c r="H54" s="76" t="s">
        <v>14</v>
      </c>
      <c r="I54" s="48">
        <v>1151</v>
      </c>
      <c r="J54" s="48">
        <v>1151</v>
      </c>
      <c r="K54" s="82">
        <v>7</v>
      </c>
      <c r="L54" s="82">
        <v>0.95</v>
      </c>
      <c r="M54" s="82">
        <v>0.95</v>
      </c>
      <c r="N54" s="38" t="s">
        <v>125</v>
      </c>
    </row>
    <row r="55" spans="1:14" s="8" customFormat="1" ht="26.4" x14ac:dyDescent="0.25">
      <c r="A55" s="140" t="s">
        <v>1312</v>
      </c>
      <c r="B55" s="140" t="s">
        <v>426</v>
      </c>
      <c r="C55" s="34" t="s">
        <v>21</v>
      </c>
      <c r="D55" s="35" t="s">
        <v>31</v>
      </c>
      <c r="E55" s="35">
        <v>1</v>
      </c>
      <c r="F55" s="46" t="s">
        <v>478</v>
      </c>
      <c r="G55" s="75">
        <v>1</v>
      </c>
      <c r="H55" s="73" t="s">
        <v>14</v>
      </c>
      <c r="I55" s="48">
        <v>2840</v>
      </c>
      <c r="J55" s="48">
        <v>2840</v>
      </c>
      <c r="K55" s="82" t="s">
        <v>479</v>
      </c>
      <c r="L55" s="82">
        <v>1.6</v>
      </c>
      <c r="M55" s="82">
        <v>1.6</v>
      </c>
      <c r="N55" s="38" t="s">
        <v>1</v>
      </c>
    </row>
    <row r="56" spans="1:14" s="8" customFormat="1" ht="20.399999999999999" x14ac:dyDescent="0.25">
      <c r="A56" s="140" t="s">
        <v>1312</v>
      </c>
      <c r="B56" s="140" t="s">
        <v>426</v>
      </c>
      <c r="C56" s="34" t="s">
        <v>21</v>
      </c>
      <c r="D56" s="35" t="s">
        <v>32</v>
      </c>
      <c r="E56" s="35">
        <v>1</v>
      </c>
      <c r="F56" s="46" t="s">
        <v>488</v>
      </c>
      <c r="G56" s="75">
        <v>1</v>
      </c>
      <c r="H56" s="73" t="s">
        <v>14</v>
      </c>
      <c r="I56" s="48">
        <v>3650</v>
      </c>
      <c r="J56" s="48">
        <v>3650</v>
      </c>
      <c r="K56" s="82">
        <v>6.8</v>
      </c>
      <c r="L56" s="82">
        <v>1.96</v>
      </c>
      <c r="M56" s="82">
        <v>1.35</v>
      </c>
      <c r="N56" s="38" t="s">
        <v>416</v>
      </c>
    </row>
    <row r="57" spans="1:14" s="8" customFormat="1" ht="26.4" x14ac:dyDescent="0.25">
      <c r="A57" s="140" t="s">
        <v>1312</v>
      </c>
      <c r="B57" s="140" t="s">
        <v>426</v>
      </c>
      <c r="C57" s="34" t="s">
        <v>21</v>
      </c>
      <c r="D57" s="35" t="s">
        <v>33</v>
      </c>
      <c r="E57" s="35">
        <v>1</v>
      </c>
      <c r="F57" s="46" t="s">
        <v>489</v>
      </c>
      <c r="G57" s="75">
        <v>1</v>
      </c>
      <c r="H57" s="73" t="s">
        <v>14</v>
      </c>
      <c r="I57" s="48">
        <v>2000</v>
      </c>
      <c r="J57" s="48">
        <v>2000</v>
      </c>
      <c r="K57" s="82">
        <v>5.6</v>
      </c>
      <c r="L57" s="82">
        <v>1.9</v>
      </c>
      <c r="M57" s="82">
        <v>1.2</v>
      </c>
      <c r="N57" s="38" t="s">
        <v>416</v>
      </c>
    </row>
    <row r="58" spans="1:14" s="8" customFormat="1" ht="26.4" x14ac:dyDescent="0.25">
      <c r="A58" s="140" t="s">
        <v>1312</v>
      </c>
      <c r="B58" s="140" t="s">
        <v>426</v>
      </c>
      <c r="C58" s="34" t="s">
        <v>21</v>
      </c>
      <c r="D58" s="35" t="s">
        <v>57</v>
      </c>
      <c r="E58" s="35">
        <v>1</v>
      </c>
      <c r="F58" s="46" t="s">
        <v>474</v>
      </c>
      <c r="G58" s="75">
        <v>1</v>
      </c>
      <c r="H58" s="73" t="s">
        <v>14</v>
      </c>
      <c r="I58" s="48">
        <v>1046</v>
      </c>
      <c r="J58" s="48">
        <v>1046</v>
      </c>
      <c r="K58" s="82">
        <v>7</v>
      </c>
      <c r="L58" s="82">
        <v>1.4</v>
      </c>
      <c r="M58" s="82">
        <v>1.2</v>
      </c>
      <c r="N58" s="38" t="s">
        <v>416</v>
      </c>
    </row>
    <row r="59" spans="1:14" s="8" customFormat="1" ht="26.4" x14ac:dyDescent="0.25">
      <c r="A59" s="140" t="s">
        <v>1312</v>
      </c>
      <c r="B59" s="140" t="s">
        <v>426</v>
      </c>
      <c r="C59" s="34" t="s">
        <v>21</v>
      </c>
      <c r="D59" s="35" t="s">
        <v>22</v>
      </c>
      <c r="E59" s="35">
        <v>1</v>
      </c>
      <c r="F59" s="46" t="s">
        <v>487</v>
      </c>
      <c r="G59" s="75">
        <v>1</v>
      </c>
      <c r="H59" s="73" t="s">
        <v>14</v>
      </c>
      <c r="I59" s="48">
        <v>670</v>
      </c>
      <c r="J59" s="48">
        <v>670</v>
      </c>
      <c r="K59" s="82">
        <v>6.93</v>
      </c>
      <c r="L59" s="82">
        <v>1.25</v>
      </c>
      <c r="M59" s="82">
        <v>1.25</v>
      </c>
      <c r="N59" s="38" t="s">
        <v>416</v>
      </c>
    </row>
    <row r="60" spans="1:14" s="8" customFormat="1" ht="26.4" x14ac:dyDescent="0.25">
      <c r="A60" s="140" t="s">
        <v>1312</v>
      </c>
      <c r="B60" s="140" t="s">
        <v>426</v>
      </c>
      <c r="C60" s="34" t="s">
        <v>21</v>
      </c>
      <c r="D60" s="35" t="s">
        <v>485</v>
      </c>
      <c r="E60" s="35">
        <v>1</v>
      </c>
      <c r="F60" s="46" t="s">
        <v>486</v>
      </c>
      <c r="G60" s="75">
        <v>2</v>
      </c>
      <c r="H60" s="76" t="s">
        <v>14</v>
      </c>
      <c r="I60" s="48">
        <v>2008</v>
      </c>
      <c r="J60" s="48">
        <v>2008</v>
      </c>
      <c r="K60" s="82">
        <v>4.2</v>
      </c>
      <c r="L60" s="82">
        <v>2.25</v>
      </c>
      <c r="M60" s="82">
        <v>2.4</v>
      </c>
      <c r="N60" s="38" t="s">
        <v>416</v>
      </c>
    </row>
    <row r="61" spans="1:14" s="8" customFormat="1" ht="26.4" x14ac:dyDescent="0.25">
      <c r="A61" s="140" t="s">
        <v>1312</v>
      </c>
      <c r="B61" s="140" t="s">
        <v>426</v>
      </c>
      <c r="C61" s="34" t="s">
        <v>21</v>
      </c>
      <c r="D61" s="35" t="s">
        <v>56</v>
      </c>
      <c r="E61" s="35">
        <v>1</v>
      </c>
      <c r="F61" s="46" t="s">
        <v>475</v>
      </c>
      <c r="G61" s="75">
        <v>1</v>
      </c>
      <c r="H61" s="73" t="s">
        <v>14</v>
      </c>
      <c r="I61" s="48">
        <v>734</v>
      </c>
      <c r="J61" s="48">
        <v>734</v>
      </c>
      <c r="K61" s="82">
        <v>4.3499999999999996</v>
      </c>
      <c r="L61" s="82">
        <v>1.42</v>
      </c>
      <c r="M61" s="82">
        <v>1.3</v>
      </c>
      <c r="N61" s="38" t="s">
        <v>416</v>
      </c>
    </row>
    <row r="62" spans="1:14" s="8" customFormat="1" ht="26.4" x14ac:dyDescent="0.25">
      <c r="A62" s="140" t="s">
        <v>1312</v>
      </c>
      <c r="B62" s="140" t="s">
        <v>426</v>
      </c>
      <c r="C62" s="34" t="s">
        <v>21</v>
      </c>
      <c r="D62" s="35" t="s">
        <v>34</v>
      </c>
      <c r="E62" s="35">
        <v>1</v>
      </c>
      <c r="F62" s="46" t="s">
        <v>477</v>
      </c>
      <c r="G62" s="75">
        <v>1</v>
      </c>
      <c r="H62" s="73" t="s">
        <v>14</v>
      </c>
      <c r="I62" s="48">
        <v>834</v>
      </c>
      <c r="J62" s="48">
        <v>834</v>
      </c>
      <c r="K62" s="82">
        <v>6.55</v>
      </c>
      <c r="L62" s="82">
        <v>1.55</v>
      </c>
      <c r="M62" s="82">
        <v>0.9</v>
      </c>
      <c r="N62" s="38" t="s">
        <v>416</v>
      </c>
    </row>
    <row r="63" spans="1:14" s="8" customFormat="1" ht="20.399999999999999" x14ac:dyDescent="0.25">
      <c r="A63" s="140" t="s">
        <v>1316</v>
      </c>
      <c r="B63" s="140" t="s">
        <v>426</v>
      </c>
      <c r="C63" s="34" t="s">
        <v>21</v>
      </c>
      <c r="D63" s="35" t="s">
        <v>41</v>
      </c>
      <c r="E63" s="35">
        <v>1</v>
      </c>
      <c r="F63" s="46" t="s">
        <v>490</v>
      </c>
      <c r="G63" s="75">
        <v>1</v>
      </c>
      <c r="H63" s="73" t="s">
        <v>14</v>
      </c>
      <c r="I63" s="48">
        <v>370</v>
      </c>
      <c r="J63" s="48">
        <v>370</v>
      </c>
      <c r="K63" s="82">
        <v>4.05</v>
      </c>
      <c r="L63" s="82">
        <v>1.41</v>
      </c>
      <c r="M63" s="82">
        <v>0.72</v>
      </c>
      <c r="N63" s="38" t="s">
        <v>416</v>
      </c>
    </row>
    <row r="64" spans="1:14" s="8" customFormat="1" ht="26.4" x14ac:dyDescent="0.25">
      <c r="A64" s="140" t="s">
        <v>1312</v>
      </c>
      <c r="B64" s="140" t="s">
        <v>426</v>
      </c>
      <c r="C64" s="34" t="s">
        <v>21</v>
      </c>
      <c r="D64" s="35" t="s">
        <v>525</v>
      </c>
      <c r="E64" s="35">
        <v>1</v>
      </c>
      <c r="F64" s="46" t="s">
        <v>526</v>
      </c>
      <c r="G64" s="75">
        <v>1</v>
      </c>
      <c r="H64" s="73" t="s">
        <v>14</v>
      </c>
      <c r="I64" s="48">
        <v>590</v>
      </c>
      <c r="J64" s="48">
        <v>590</v>
      </c>
      <c r="K64" s="82">
        <v>8.75</v>
      </c>
      <c r="L64" s="82">
        <v>1.25</v>
      </c>
      <c r="M64" s="82">
        <v>1.25</v>
      </c>
      <c r="N64" s="38" t="s">
        <v>416</v>
      </c>
    </row>
    <row r="65" spans="1:14" s="8" customFormat="1" ht="20.399999999999999" x14ac:dyDescent="0.25">
      <c r="A65" s="140" t="s">
        <v>1312</v>
      </c>
      <c r="B65" s="140" t="s">
        <v>426</v>
      </c>
      <c r="C65" s="34" t="s">
        <v>21</v>
      </c>
      <c r="D65" s="35" t="s">
        <v>40</v>
      </c>
      <c r="E65" s="35">
        <v>1</v>
      </c>
      <c r="F65" s="46" t="s">
        <v>527</v>
      </c>
      <c r="G65" s="75">
        <v>1</v>
      </c>
      <c r="H65" s="73" t="s">
        <v>14</v>
      </c>
      <c r="I65" s="48">
        <v>785</v>
      </c>
      <c r="J65" s="48">
        <v>785</v>
      </c>
      <c r="K65" s="82">
        <v>7.95</v>
      </c>
      <c r="L65" s="82">
        <v>1.25</v>
      </c>
      <c r="M65" s="82">
        <v>1.25</v>
      </c>
      <c r="N65" s="38" t="s">
        <v>416</v>
      </c>
    </row>
    <row r="66" spans="1:14" s="8" customFormat="1" ht="20.399999999999999" x14ac:dyDescent="0.25">
      <c r="A66" s="140" t="s">
        <v>1317</v>
      </c>
      <c r="B66" s="140" t="s">
        <v>426</v>
      </c>
      <c r="C66" s="34" t="s">
        <v>21</v>
      </c>
      <c r="D66" s="35" t="s">
        <v>30</v>
      </c>
      <c r="E66" s="35">
        <v>1</v>
      </c>
      <c r="F66" s="46" t="s">
        <v>533</v>
      </c>
      <c r="G66" s="75">
        <v>1</v>
      </c>
      <c r="H66" s="73" t="s">
        <v>14</v>
      </c>
      <c r="I66" s="48">
        <v>405</v>
      </c>
      <c r="J66" s="48">
        <v>405</v>
      </c>
      <c r="K66" s="82">
        <v>3.55</v>
      </c>
      <c r="L66" s="82">
        <v>1.1499999999999999</v>
      </c>
      <c r="M66" s="82">
        <v>1.1499999999999999</v>
      </c>
      <c r="N66" s="38" t="s">
        <v>416</v>
      </c>
    </row>
    <row r="67" spans="1:14" s="8" customFormat="1" ht="20.399999999999999" x14ac:dyDescent="0.25">
      <c r="A67" s="140" t="s">
        <v>1317</v>
      </c>
      <c r="B67" s="140" t="s">
        <v>426</v>
      </c>
      <c r="C67" s="34" t="s">
        <v>21</v>
      </c>
      <c r="D67" s="35" t="s">
        <v>29</v>
      </c>
      <c r="E67" s="35">
        <v>1</v>
      </c>
      <c r="F67" s="46" t="s">
        <v>534</v>
      </c>
      <c r="G67" s="75">
        <v>1</v>
      </c>
      <c r="H67" s="73" t="s">
        <v>14</v>
      </c>
      <c r="I67" s="48">
        <v>684</v>
      </c>
      <c r="J67" s="48">
        <v>684</v>
      </c>
      <c r="K67" s="82">
        <v>3.2</v>
      </c>
      <c r="L67" s="82">
        <v>2.1</v>
      </c>
      <c r="M67" s="82">
        <v>2.1</v>
      </c>
      <c r="N67" s="38" t="s">
        <v>416</v>
      </c>
    </row>
    <row r="68" spans="1:14" s="8" customFormat="1" ht="20.399999999999999" x14ac:dyDescent="0.25">
      <c r="A68" s="140" t="s">
        <v>1312</v>
      </c>
      <c r="B68" s="140" t="s">
        <v>426</v>
      </c>
      <c r="C68" s="34" t="s">
        <v>21</v>
      </c>
      <c r="D68" s="35" t="s">
        <v>535</v>
      </c>
      <c r="E68" s="35">
        <v>1</v>
      </c>
      <c r="F68" s="46" t="s">
        <v>536</v>
      </c>
      <c r="G68" s="75">
        <v>1</v>
      </c>
      <c r="H68" s="73" t="s">
        <v>14</v>
      </c>
      <c r="I68" s="48">
        <v>305</v>
      </c>
      <c r="J68" s="48">
        <v>305</v>
      </c>
      <c r="K68" s="82">
        <v>2.92</v>
      </c>
      <c r="L68" s="82">
        <v>1.5</v>
      </c>
      <c r="M68" s="82">
        <v>1.36</v>
      </c>
      <c r="N68" s="38" t="s">
        <v>416</v>
      </c>
    </row>
    <row r="69" spans="1:14" s="8" customFormat="1" ht="20.399999999999999" x14ac:dyDescent="0.25">
      <c r="A69" s="140" t="s">
        <v>1312</v>
      </c>
      <c r="B69" s="140" t="s">
        <v>426</v>
      </c>
      <c r="C69" s="34" t="s">
        <v>21</v>
      </c>
      <c r="D69" s="35" t="s">
        <v>537</v>
      </c>
      <c r="E69" s="35">
        <v>1</v>
      </c>
      <c r="F69" s="46" t="s">
        <v>538</v>
      </c>
      <c r="G69" s="75">
        <v>1</v>
      </c>
      <c r="H69" s="73" t="s">
        <v>14</v>
      </c>
      <c r="I69" s="48">
        <v>310</v>
      </c>
      <c r="J69" s="48">
        <v>310</v>
      </c>
      <c r="K69" s="82">
        <v>2.65</v>
      </c>
      <c r="L69" s="82">
        <v>1.1399999999999999</v>
      </c>
      <c r="M69" s="82">
        <v>0.91</v>
      </c>
      <c r="N69" s="38" t="s">
        <v>85</v>
      </c>
    </row>
    <row r="70" spans="1:14" s="8" customFormat="1" ht="26.4" x14ac:dyDescent="0.25">
      <c r="A70" s="140" t="s">
        <v>1318</v>
      </c>
      <c r="B70" s="140" t="s">
        <v>426</v>
      </c>
      <c r="C70" s="34" t="s">
        <v>21</v>
      </c>
      <c r="D70" s="35" t="s">
        <v>546</v>
      </c>
      <c r="E70" s="35">
        <v>1</v>
      </c>
      <c r="F70" s="46" t="s">
        <v>547</v>
      </c>
      <c r="G70" s="75">
        <v>1</v>
      </c>
      <c r="H70" s="73" t="s">
        <v>14</v>
      </c>
      <c r="I70" s="48">
        <v>2800</v>
      </c>
      <c r="J70" s="48">
        <v>2800</v>
      </c>
      <c r="K70" s="82">
        <v>7.17</v>
      </c>
      <c r="L70" s="82">
        <v>1.86</v>
      </c>
      <c r="M70" s="82">
        <v>2.8</v>
      </c>
      <c r="N70" s="38" t="s">
        <v>1</v>
      </c>
    </row>
    <row r="71" spans="1:14" s="8" customFormat="1" ht="20.399999999999999" x14ac:dyDescent="0.25">
      <c r="A71" s="140" t="s">
        <v>1318</v>
      </c>
      <c r="B71" s="140" t="s">
        <v>426</v>
      </c>
      <c r="C71" s="34" t="s">
        <v>21</v>
      </c>
      <c r="D71" s="35" t="s">
        <v>548</v>
      </c>
      <c r="E71" s="35">
        <v>1</v>
      </c>
      <c r="F71" s="46" t="s">
        <v>549</v>
      </c>
      <c r="G71" s="75">
        <v>1</v>
      </c>
      <c r="H71" s="73" t="s">
        <v>14</v>
      </c>
      <c r="I71" s="48">
        <v>1440</v>
      </c>
      <c r="J71" s="48">
        <v>1440</v>
      </c>
      <c r="K71" s="82">
        <v>5</v>
      </c>
      <c r="L71" s="82">
        <v>2</v>
      </c>
      <c r="M71" s="82">
        <v>2.4</v>
      </c>
      <c r="N71" s="38" t="s">
        <v>1</v>
      </c>
    </row>
    <row r="72" spans="1:14" s="8" customFormat="1" ht="20.399999999999999" x14ac:dyDescent="0.25">
      <c r="A72" s="140" t="s">
        <v>1318</v>
      </c>
      <c r="B72" s="140" t="s">
        <v>426</v>
      </c>
      <c r="C72" s="34" t="s">
        <v>21</v>
      </c>
      <c r="D72" s="35" t="s">
        <v>550</v>
      </c>
      <c r="E72" s="35">
        <v>1</v>
      </c>
      <c r="F72" s="46" t="s">
        <v>549</v>
      </c>
      <c r="G72" s="75">
        <v>1</v>
      </c>
      <c r="H72" s="73" t="s">
        <v>14</v>
      </c>
      <c r="I72" s="48">
        <v>1430</v>
      </c>
      <c r="J72" s="48">
        <v>1430</v>
      </c>
      <c r="K72" s="82">
        <v>5</v>
      </c>
      <c r="L72" s="82">
        <v>2</v>
      </c>
      <c r="M72" s="82">
        <v>2.4</v>
      </c>
      <c r="N72" s="38" t="s">
        <v>1</v>
      </c>
    </row>
    <row r="73" spans="1:14" s="8" customFormat="1" ht="20.399999999999999" x14ac:dyDescent="0.25">
      <c r="A73" s="140" t="s">
        <v>1318</v>
      </c>
      <c r="B73" s="140" t="s">
        <v>366</v>
      </c>
      <c r="C73" s="34" t="s">
        <v>21</v>
      </c>
      <c r="D73" s="35" t="s">
        <v>371</v>
      </c>
      <c r="E73" s="35">
        <v>1</v>
      </c>
      <c r="F73" s="46" t="s">
        <v>372</v>
      </c>
      <c r="G73" s="75">
        <v>1</v>
      </c>
      <c r="H73" s="73" t="s">
        <v>14</v>
      </c>
      <c r="I73" s="48">
        <v>430</v>
      </c>
      <c r="J73" s="48">
        <v>450</v>
      </c>
      <c r="K73" s="82">
        <v>1.06</v>
      </c>
      <c r="L73" s="82">
        <v>0.55000000000000004</v>
      </c>
      <c r="M73" s="82">
        <v>1.1000000000000001</v>
      </c>
      <c r="N73" s="38" t="s">
        <v>1</v>
      </c>
    </row>
    <row r="74" spans="1:14" s="8" customFormat="1" ht="92.4" x14ac:dyDescent="0.25">
      <c r="A74" s="140" t="s">
        <v>1318</v>
      </c>
      <c r="B74" s="140" t="s">
        <v>602</v>
      </c>
      <c r="C74" s="34" t="s">
        <v>18</v>
      </c>
      <c r="D74" s="35" t="s">
        <v>371</v>
      </c>
      <c r="E74" s="35">
        <v>1</v>
      </c>
      <c r="F74" s="46" t="s">
        <v>603</v>
      </c>
      <c r="G74" s="75">
        <v>8</v>
      </c>
      <c r="H74" s="73" t="s">
        <v>14</v>
      </c>
      <c r="I74" s="48">
        <v>308.5</v>
      </c>
      <c r="J74" s="48">
        <v>330</v>
      </c>
      <c r="K74" s="82">
        <v>1.2</v>
      </c>
      <c r="L74" s="82">
        <v>1.05</v>
      </c>
      <c r="M74" s="82">
        <v>0.55000000000000004</v>
      </c>
      <c r="N74" s="38" t="s">
        <v>85</v>
      </c>
    </row>
    <row r="75" spans="1:14" s="8" customFormat="1" ht="26.4" x14ac:dyDescent="0.25">
      <c r="A75" s="140" t="s">
        <v>1308</v>
      </c>
      <c r="B75" s="140" t="s">
        <v>366</v>
      </c>
      <c r="C75" s="34" t="s">
        <v>21</v>
      </c>
      <c r="D75" s="35" t="s">
        <v>51</v>
      </c>
      <c r="E75" s="35">
        <v>1</v>
      </c>
      <c r="F75" s="46" t="s">
        <v>373</v>
      </c>
      <c r="G75" s="75">
        <v>1</v>
      </c>
      <c r="H75" s="73" t="s">
        <v>14</v>
      </c>
      <c r="I75" s="48">
        <v>520</v>
      </c>
      <c r="J75" s="48">
        <v>520</v>
      </c>
      <c r="K75" s="82">
        <v>8.6</v>
      </c>
      <c r="L75" s="82">
        <v>0.45</v>
      </c>
      <c r="M75" s="82">
        <v>0.45</v>
      </c>
      <c r="N75" s="38" t="s">
        <v>85</v>
      </c>
    </row>
    <row r="76" spans="1:14" s="8" customFormat="1" ht="20.399999999999999" x14ac:dyDescent="0.25">
      <c r="A76" s="140" t="s">
        <v>1308</v>
      </c>
      <c r="B76" s="140" t="s">
        <v>366</v>
      </c>
      <c r="C76" s="34" t="s">
        <v>21</v>
      </c>
      <c r="D76" s="35" t="s">
        <v>51</v>
      </c>
      <c r="E76" s="35">
        <v>1</v>
      </c>
      <c r="F76" s="46" t="s">
        <v>561</v>
      </c>
      <c r="G76" s="75">
        <v>1</v>
      </c>
      <c r="H76" s="73" t="s">
        <v>14</v>
      </c>
      <c r="I76" s="48">
        <v>530</v>
      </c>
      <c r="J76" s="48">
        <v>530</v>
      </c>
      <c r="K76" s="82">
        <v>8.6</v>
      </c>
      <c r="L76" s="82">
        <v>0.45</v>
      </c>
      <c r="M76" s="82">
        <v>0.39</v>
      </c>
      <c r="N76" s="38" t="s">
        <v>85</v>
      </c>
    </row>
    <row r="77" spans="1:14" s="8" customFormat="1" ht="20.399999999999999" x14ac:dyDescent="0.25">
      <c r="A77" s="140" t="s">
        <v>1308</v>
      </c>
      <c r="B77" s="140" t="s">
        <v>366</v>
      </c>
      <c r="C77" s="34" t="s">
        <v>21</v>
      </c>
      <c r="D77" s="35"/>
      <c r="E77" s="35">
        <v>1</v>
      </c>
      <c r="F77" s="46" t="s">
        <v>374</v>
      </c>
      <c r="G77" s="75">
        <v>1</v>
      </c>
      <c r="H77" s="73" t="s">
        <v>14</v>
      </c>
      <c r="I77" s="51">
        <v>190</v>
      </c>
      <c r="J77" s="48">
        <v>190</v>
      </c>
      <c r="K77" s="82">
        <v>2.5499999999999998</v>
      </c>
      <c r="L77" s="82">
        <v>0.3</v>
      </c>
      <c r="M77" s="82">
        <v>0.5</v>
      </c>
      <c r="N77" s="38" t="s">
        <v>85</v>
      </c>
    </row>
    <row r="78" spans="1:14" s="8" customFormat="1" ht="20.399999999999999" x14ac:dyDescent="0.25">
      <c r="A78" s="140" t="s">
        <v>1308</v>
      </c>
      <c r="B78" s="140" t="s">
        <v>122</v>
      </c>
      <c r="C78" s="34" t="s">
        <v>21</v>
      </c>
      <c r="D78" s="35"/>
      <c r="E78" s="35">
        <v>1</v>
      </c>
      <c r="F78" s="46" t="s">
        <v>374</v>
      </c>
      <c r="G78" s="72">
        <v>1</v>
      </c>
      <c r="H78" s="76" t="s">
        <v>14</v>
      </c>
      <c r="I78" s="48">
        <v>135</v>
      </c>
      <c r="J78" s="48">
        <v>135</v>
      </c>
      <c r="K78" s="82">
        <v>2.5</v>
      </c>
      <c r="L78" s="82">
        <v>0.3</v>
      </c>
      <c r="M78" s="82">
        <v>0.5</v>
      </c>
      <c r="N78" s="38" t="s">
        <v>125</v>
      </c>
    </row>
    <row r="79" spans="1:14" s="8" customFormat="1" ht="20.399999999999999" x14ac:dyDescent="0.25">
      <c r="A79" s="140" t="s">
        <v>1308</v>
      </c>
      <c r="B79" s="140" t="s">
        <v>426</v>
      </c>
      <c r="C79" s="34" t="s">
        <v>21</v>
      </c>
      <c r="D79" s="35"/>
      <c r="E79" s="35">
        <v>1</v>
      </c>
      <c r="F79" s="46" t="s">
        <v>374</v>
      </c>
      <c r="G79" s="72">
        <v>1</v>
      </c>
      <c r="H79" s="76" t="s">
        <v>14</v>
      </c>
      <c r="I79" s="48">
        <v>115</v>
      </c>
      <c r="J79" s="48">
        <v>115</v>
      </c>
      <c r="K79" s="82">
        <v>2.5499999999999998</v>
      </c>
      <c r="L79" s="82">
        <v>0.3</v>
      </c>
      <c r="M79" s="82">
        <v>0.5</v>
      </c>
      <c r="N79" s="38" t="s">
        <v>85</v>
      </c>
    </row>
    <row r="80" spans="1:14" s="8" customFormat="1" ht="20.399999999999999" x14ac:dyDescent="0.25">
      <c r="A80" s="140" t="s">
        <v>1308</v>
      </c>
      <c r="B80" s="140" t="s">
        <v>366</v>
      </c>
      <c r="C80" s="34" t="s">
        <v>21</v>
      </c>
      <c r="D80" s="35"/>
      <c r="E80" s="35">
        <v>1</v>
      </c>
      <c r="F80" s="46" t="s">
        <v>375</v>
      </c>
      <c r="G80" s="75">
        <v>1</v>
      </c>
      <c r="H80" s="73" t="s">
        <v>14</v>
      </c>
      <c r="I80" s="48">
        <v>85</v>
      </c>
      <c r="J80" s="48">
        <v>85</v>
      </c>
      <c r="K80" s="82">
        <v>1.77</v>
      </c>
      <c r="L80" s="82">
        <v>0.52</v>
      </c>
      <c r="M80" s="82">
        <v>0.03</v>
      </c>
      <c r="N80" s="38" t="s">
        <v>85</v>
      </c>
    </row>
    <row r="81" spans="1:14" s="8" customFormat="1" ht="26.4" x14ac:dyDescent="0.25">
      <c r="A81" s="140" t="s">
        <v>1307</v>
      </c>
      <c r="B81" s="140" t="s">
        <v>366</v>
      </c>
      <c r="C81" s="34" t="s">
        <v>21</v>
      </c>
      <c r="D81" s="35" t="s">
        <v>965</v>
      </c>
      <c r="E81" s="35">
        <v>1</v>
      </c>
      <c r="F81" s="46" t="s">
        <v>376</v>
      </c>
      <c r="G81" s="75">
        <v>1</v>
      </c>
      <c r="H81" s="73" t="s">
        <v>14</v>
      </c>
      <c r="I81" s="51">
        <v>240</v>
      </c>
      <c r="J81" s="51">
        <v>240</v>
      </c>
      <c r="K81" s="82">
        <v>1.2</v>
      </c>
      <c r="L81" s="82">
        <v>1</v>
      </c>
      <c r="M81" s="82">
        <v>0.65</v>
      </c>
      <c r="N81" s="38" t="s">
        <v>85</v>
      </c>
    </row>
    <row r="82" spans="1:14" s="8" customFormat="1" ht="20.399999999999999" x14ac:dyDescent="0.25">
      <c r="A82" s="140" t="s">
        <v>1307</v>
      </c>
      <c r="B82" s="140" t="s">
        <v>426</v>
      </c>
      <c r="C82" s="34" t="s">
        <v>18</v>
      </c>
      <c r="D82" s="35">
        <v>7180</v>
      </c>
      <c r="E82" s="35">
        <v>1</v>
      </c>
      <c r="F82" s="46" t="s">
        <v>524</v>
      </c>
      <c r="G82" s="75">
        <v>8</v>
      </c>
      <c r="H82" s="73" t="s">
        <v>14</v>
      </c>
      <c r="I82" s="51">
        <v>40</v>
      </c>
      <c r="J82" s="51">
        <v>60</v>
      </c>
      <c r="K82" s="82">
        <v>1</v>
      </c>
      <c r="L82" s="82">
        <v>1</v>
      </c>
      <c r="M82" s="82">
        <v>0.5</v>
      </c>
      <c r="N82" s="38" t="s">
        <v>85</v>
      </c>
    </row>
    <row r="83" spans="1:14" s="8" customFormat="1" ht="30.6" x14ac:dyDescent="0.25">
      <c r="A83" s="140" t="s">
        <v>1319</v>
      </c>
      <c r="B83" s="140" t="s">
        <v>426</v>
      </c>
      <c r="C83" s="34" t="s">
        <v>21</v>
      </c>
      <c r="D83" s="35" t="s">
        <v>434</v>
      </c>
      <c r="E83" s="35">
        <v>1</v>
      </c>
      <c r="F83" s="46" t="s">
        <v>436</v>
      </c>
      <c r="G83" s="75">
        <v>1</v>
      </c>
      <c r="H83" s="73" t="s">
        <v>14</v>
      </c>
      <c r="I83" s="51">
        <v>3180</v>
      </c>
      <c r="J83" s="48">
        <v>3180</v>
      </c>
      <c r="K83" s="82">
        <v>7.84</v>
      </c>
      <c r="L83" s="82">
        <v>2.06</v>
      </c>
      <c r="M83" s="82">
        <v>2.72</v>
      </c>
      <c r="N83" s="38" t="s">
        <v>85</v>
      </c>
    </row>
    <row r="84" spans="1:14" s="8" customFormat="1" ht="30.6" x14ac:dyDescent="0.25">
      <c r="A84" s="140" t="s">
        <v>1319</v>
      </c>
      <c r="B84" s="140" t="s">
        <v>426</v>
      </c>
      <c r="C84" s="34" t="s">
        <v>21</v>
      </c>
      <c r="D84" s="35" t="s">
        <v>435</v>
      </c>
      <c r="E84" s="35">
        <v>1</v>
      </c>
      <c r="F84" s="46" t="s">
        <v>436</v>
      </c>
      <c r="G84" s="75">
        <v>1</v>
      </c>
      <c r="H84" s="73" t="s">
        <v>14</v>
      </c>
      <c r="I84" s="51">
        <v>3190</v>
      </c>
      <c r="J84" s="48">
        <v>3190</v>
      </c>
      <c r="K84" s="82">
        <v>7.84</v>
      </c>
      <c r="L84" s="82">
        <v>2.06</v>
      </c>
      <c r="M84" s="82">
        <v>2.72</v>
      </c>
      <c r="N84" s="38" t="s">
        <v>85</v>
      </c>
    </row>
    <row r="85" spans="1:14" s="8" customFormat="1" ht="20.399999999999999" x14ac:dyDescent="0.25">
      <c r="A85" s="140" t="s">
        <v>1307</v>
      </c>
      <c r="B85" s="140" t="s">
        <v>426</v>
      </c>
      <c r="C85" s="34" t="s">
        <v>18</v>
      </c>
      <c r="D85" s="35"/>
      <c r="E85" s="35">
        <v>1</v>
      </c>
      <c r="F85" s="46" t="s">
        <v>521</v>
      </c>
      <c r="G85" s="75">
        <v>6</v>
      </c>
      <c r="H85" s="73" t="s">
        <v>14</v>
      </c>
      <c r="I85" s="48">
        <v>195</v>
      </c>
      <c r="J85" s="48">
        <v>215</v>
      </c>
      <c r="K85" s="35">
        <v>1.56</v>
      </c>
      <c r="L85" s="35">
        <v>1.07</v>
      </c>
      <c r="M85" s="35">
        <v>1.07</v>
      </c>
      <c r="N85" s="38" t="s">
        <v>85</v>
      </c>
    </row>
    <row r="86" spans="1:14" s="8" customFormat="1" ht="26.4" x14ac:dyDescent="0.25">
      <c r="A86" s="140" t="s">
        <v>1307</v>
      </c>
      <c r="B86" s="140" t="s">
        <v>426</v>
      </c>
      <c r="C86" s="34" t="s">
        <v>18</v>
      </c>
      <c r="D86" s="35"/>
      <c r="E86" s="35">
        <v>1</v>
      </c>
      <c r="F86" s="46" t="s">
        <v>522</v>
      </c>
      <c r="G86" s="75">
        <v>8</v>
      </c>
      <c r="H86" s="73" t="s">
        <v>14</v>
      </c>
      <c r="I86" s="48">
        <v>250</v>
      </c>
      <c r="J86" s="48">
        <v>270</v>
      </c>
      <c r="K86" s="82">
        <v>1.8</v>
      </c>
      <c r="L86" s="35">
        <v>1.41</v>
      </c>
      <c r="M86" s="35">
        <v>1.27</v>
      </c>
      <c r="N86" s="38" t="s">
        <v>85</v>
      </c>
    </row>
    <row r="87" spans="1:14" s="8" customFormat="1" ht="20.399999999999999" x14ac:dyDescent="0.25">
      <c r="A87" s="140" t="s">
        <v>1307</v>
      </c>
      <c r="B87" s="140" t="s">
        <v>426</v>
      </c>
      <c r="C87" s="34" t="s">
        <v>18</v>
      </c>
      <c r="D87" s="35"/>
      <c r="E87" s="35">
        <v>1</v>
      </c>
      <c r="F87" s="46" t="s">
        <v>523</v>
      </c>
      <c r="G87" s="75">
        <v>3</v>
      </c>
      <c r="H87" s="73" t="s">
        <v>14</v>
      </c>
      <c r="I87" s="48">
        <v>85</v>
      </c>
      <c r="J87" s="48">
        <v>100</v>
      </c>
      <c r="K87" s="35">
        <v>1.56</v>
      </c>
      <c r="L87" s="35">
        <v>1.22</v>
      </c>
      <c r="M87" s="35">
        <v>1.26</v>
      </c>
      <c r="N87" s="38" t="s">
        <v>85</v>
      </c>
    </row>
    <row r="88" spans="1:14" s="8" customFormat="1" ht="20.399999999999999" x14ac:dyDescent="0.25">
      <c r="A88" s="140" t="s">
        <v>1307</v>
      </c>
      <c r="B88" s="140" t="s">
        <v>426</v>
      </c>
      <c r="C88" s="34" t="s">
        <v>18</v>
      </c>
      <c r="D88" s="35"/>
      <c r="E88" s="35">
        <v>1</v>
      </c>
      <c r="F88" s="46" t="s">
        <v>523</v>
      </c>
      <c r="G88" s="75">
        <v>3</v>
      </c>
      <c r="H88" s="73" t="s">
        <v>14</v>
      </c>
      <c r="I88" s="48">
        <v>85</v>
      </c>
      <c r="J88" s="48">
        <v>105</v>
      </c>
      <c r="K88" s="35">
        <v>1.56</v>
      </c>
      <c r="L88" s="35">
        <v>1.22</v>
      </c>
      <c r="M88" s="35">
        <v>1.26</v>
      </c>
      <c r="N88" s="38" t="s">
        <v>85</v>
      </c>
    </row>
    <row r="89" spans="1:14" s="8" customFormat="1" ht="20.399999999999999" x14ac:dyDescent="0.25">
      <c r="A89" s="140" t="s">
        <v>1307</v>
      </c>
      <c r="B89" s="140" t="s">
        <v>426</v>
      </c>
      <c r="C89" s="34" t="s">
        <v>18</v>
      </c>
      <c r="D89" s="35"/>
      <c r="E89" s="35">
        <v>1</v>
      </c>
      <c r="F89" s="46" t="s">
        <v>523</v>
      </c>
      <c r="G89" s="75">
        <v>3</v>
      </c>
      <c r="H89" s="73" t="s">
        <v>14</v>
      </c>
      <c r="I89" s="48">
        <v>85</v>
      </c>
      <c r="J89" s="48">
        <v>105</v>
      </c>
      <c r="K89" s="35">
        <v>1.56</v>
      </c>
      <c r="L89" s="35">
        <v>1.2</v>
      </c>
      <c r="M89" s="35">
        <v>0.91</v>
      </c>
      <c r="N89" s="38" t="s">
        <v>85</v>
      </c>
    </row>
    <row r="90" spans="1:14" s="8" customFormat="1" ht="20.399999999999999" x14ac:dyDescent="0.25">
      <c r="A90" s="140" t="s">
        <v>1320</v>
      </c>
      <c r="B90" s="140" t="s">
        <v>895</v>
      </c>
      <c r="C90" s="34" t="s">
        <v>21</v>
      </c>
      <c r="D90" s="35" t="s">
        <v>820</v>
      </c>
      <c r="E90" s="35">
        <v>1</v>
      </c>
      <c r="F90" s="46" t="s">
        <v>43</v>
      </c>
      <c r="G90" s="172">
        <v>1</v>
      </c>
      <c r="H90" s="73" t="s">
        <v>14</v>
      </c>
      <c r="I90" s="48">
        <v>21653</v>
      </c>
      <c r="J90" s="48">
        <v>21653</v>
      </c>
      <c r="K90" s="82">
        <v>16</v>
      </c>
      <c r="L90" s="82">
        <v>2.67</v>
      </c>
      <c r="M90" s="82">
        <v>4.2300000000000004</v>
      </c>
      <c r="N90" s="38" t="s">
        <v>853</v>
      </c>
    </row>
    <row r="91" spans="1:14" s="8" customFormat="1" ht="20.399999999999999" x14ac:dyDescent="0.25">
      <c r="A91" s="140" t="s">
        <v>1318</v>
      </c>
      <c r="B91" s="140" t="s">
        <v>895</v>
      </c>
      <c r="C91" s="34" t="s">
        <v>21</v>
      </c>
      <c r="D91" s="35" t="s">
        <v>820</v>
      </c>
      <c r="E91" s="35">
        <v>1</v>
      </c>
      <c r="F91" s="46" t="s">
        <v>374</v>
      </c>
      <c r="G91" s="75">
        <v>1</v>
      </c>
      <c r="H91" s="73" t="s">
        <v>14</v>
      </c>
      <c r="I91" s="51">
        <v>115</v>
      </c>
      <c r="J91" s="48">
        <v>115</v>
      </c>
      <c r="K91" s="82">
        <v>2.52</v>
      </c>
      <c r="L91" s="82">
        <v>0.3</v>
      </c>
      <c r="M91" s="82">
        <v>0.43</v>
      </c>
      <c r="N91" s="38" t="s">
        <v>85</v>
      </c>
    </row>
    <row r="92" spans="1:14" s="8" customFormat="1" ht="20.399999999999999" x14ac:dyDescent="0.25">
      <c r="A92" s="140" t="s">
        <v>1318</v>
      </c>
      <c r="B92" s="140" t="s">
        <v>895</v>
      </c>
      <c r="C92" s="34" t="s">
        <v>21</v>
      </c>
      <c r="D92" s="35" t="s">
        <v>820</v>
      </c>
      <c r="E92" s="35">
        <v>1</v>
      </c>
      <c r="F92" s="46" t="s">
        <v>374</v>
      </c>
      <c r="G92" s="75">
        <v>1</v>
      </c>
      <c r="H92" s="73" t="s">
        <v>14</v>
      </c>
      <c r="I92" s="51">
        <v>115</v>
      </c>
      <c r="J92" s="48">
        <v>115</v>
      </c>
      <c r="K92" s="82">
        <v>2.52</v>
      </c>
      <c r="L92" s="82">
        <v>0.3</v>
      </c>
      <c r="M92" s="82">
        <v>0.43</v>
      </c>
      <c r="N92" s="38" t="s">
        <v>85</v>
      </c>
    </row>
    <row r="93" spans="1:14" s="8" customFormat="1" ht="20.399999999999999" x14ac:dyDescent="0.25">
      <c r="A93" s="140" t="s">
        <v>1318</v>
      </c>
      <c r="B93" s="140" t="s">
        <v>895</v>
      </c>
      <c r="C93" s="34" t="s">
        <v>21</v>
      </c>
      <c r="D93" s="35" t="s">
        <v>44</v>
      </c>
      <c r="E93" s="35">
        <v>1</v>
      </c>
      <c r="F93" s="46" t="s">
        <v>655</v>
      </c>
      <c r="G93" s="75">
        <v>1</v>
      </c>
      <c r="H93" s="73" t="s">
        <v>14</v>
      </c>
      <c r="I93" s="48">
        <v>460</v>
      </c>
      <c r="J93" s="48">
        <v>460</v>
      </c>
      <c r="K93" s="82">
        <v>2.75</v>
      </c>
      <c r="L93" s="82">
        <v>1.86</v>
      </c>
      <c r="M93" s="82">
        <v>1.95</v>
      </c>
      <c r="N93" s="38" t="s">
        <v>85</v>
      </c>
    </row>
    <row r="94" spans="1:14" s="8" customFormat="1" ht="20.399999999999999" x14ac:dyDescent="0.25">
      <c r="A94" s="140" t="s">
        <v>1318</v>
      </c>
      <c r="B94" s="140" t="s">
        <v>895</v>
      </c>
      <c r="C94" s="34" t="s">
        <v>21</v>
      </c>
      <c r="D94" s="35" t="s">
        <v>44</v>
      </c>
      <c r="E94" s="35">
        <v>1</v>
      </c>
      <c r="F94" s="46" t="s">
        <v>656</v>
      </c>
      <c r="G94" s="75">
        <v>1</v>
      </c>
      <c r="H94" s="73" t="s">
        <v>14</v>
      </c>
      <c r="I94" s="48">
        <v>625</v>
      </c>
      <c r="J94" s="48">
        <v>625</v>
      </c>
      <c r="K94" s="82">
        <v>2.75</v>
      </c>
      <c r="L94" s="82">
        <v>1.86</v>
      </c>
      <c r="M94" s="82">
        <v>1.55</v>
      </c>
      <c r="N94" s="38" t="s">
        <v>85</v>
      </c>
    </row>
    <row r="95" spans="1:14" s="8" customFormat="1" ht="20.399999999999999" x14ac:dyDescent="0.25">
      <c r="A95" s="140" t="s">
        <v>1318</v>
      </c>
      <c r="B95" s="140" t="s">
        <v>895</v>
      </c>
      <c r="C95" s="34" t="s">
        <v>21</v>
      </c>
      <c r="D95" s="35" t="s">
        <v>44</v>
      </c>
      <c r="E95" s="35">
        <v>1</v>
      </c>
      <c r="F95" s="46" t="s">
        <v>657</v>
      </c>
      <c r="G95" s="75">
        <v>1</v>
      </c>
      <c r="H95" s="73" t="s">
        <v>14</v>
      </c>
      <c r="I95" s="48">
        <v>625</v>
      </c>
      <c r="J95" s="48">
        <v>625</v>
      </c>
      <c r="K95" s="82">
        <v>2.75</v>
      </c>
      <c r="L95" s="82">
        <v>1.86</v>
      </c>
      <c r="M95" s="82">
        <v>1.55</v>
      </c>
      <c r="N95" s="38" t="s">
        <v>85</v>
      </c>
    </row>
    <row r="96" spans="1:14" s="8" customFormat="1" ht="20.399999999999999" x14ac:dyDescent="0.25">
      <c r="A96" s="140" t="s">
        <v>1318</v>
      </c>
      <c r="B96" s="140" t="s">
        <v>895</v>
      </c>
      <c r="C96" s="34" t="s">
        <v>21</v>
      </c>
      <c r="D96" s="35" t="s">
        <v>44</v>
      </c>
      <c r="E96" s="35">
        <v>1</v>
      </c>
      <c r="F96" s="46" t="s">
        <v>658</v>
      </c>
      <c r="G96" s="75">
        <v>1</v>
      </c>
      <c r="H96" s="73" t="s">
        <v>14</v>
      </c>
      <c r="I96" s="48">
        <v>660</v>
      </c>
      <c r="J96" s="48">
        <v>660</v>
      </c>
      <c r="K96" s="82">
        <v>2.75</v>
      </c>
      <c r="L96" s="82">
        <v>1.86</v>
      </c>
      <c r="M96" s="82">
        <v>1.55</v>
      </c>
      <c r="N96" s="38" t="s">
        <v>85</v>
      </c>
    </row>
    <row r="97" spans="1:14" s="8" customFormat="1" ht="20.399999999999999" x14ac:dyDescent="0.25">
      <c r="A97" s="140" t="s">
        <v>1318</v>
      </c>
      <c r="B97" s="140" t="s">
        <v>895</v>
      </c>
      <c r="C97" s="34" t="s">
        <v>21</v>
      </c>
      <c r="D97" s="35" t="s">
        <v>44</v>
      </c>
      <c r="E97" s="35">
        <v>1</v>
      </c>
      <c r="F97" s="46" t="s">
        <v>659</v>
      </c>
      <c r="G97" s="75">
        <v>1</v>
      </c>
      <c r="H97" s="73" t="s">
        <v>14</v>
      </c>
      <c r="I97" s="48">
        <v>680</v>
      </c>
      <c r="J97" s="48">
        <v>680</v>
      </c>
      <c r="K97" s="82">
        <v>2.02</v>
      </c>
      <c r="L97" s="82">
        <v>2.0099999999999998</v>
      </c>
      <c r="M97" s="82">
        <v>1.5</v>
      </c>
      <c r="N97" s="38" t="s">
        <v>85</v>
      </c>
    </row>
    <row r="98" spans="1:14" s="8" customFormat="1" ht="20.399999999999999" x14ac:dyDescent="0.25">
      <c r="A98" s="140" t="s">
        <v>1318</v>
      </c>
      <c r="B98" s="140" t="s">
        <v>895</v>
      </c>
      <c r="C98" s="34" t="s">
        <v>21</v>
      </c>
      <c r="D98" s="35" t="s">
        <v>45</v>
      </c>
      <c r="E98" s="35">
        <v>58</v>
      </c>
      <c r="F98" s="46" t="s">
        <v>908</v>
      </c>
      <c r="G98" s="75">
        <v>58</v>
      </c>
      <c r="H98" s="73" t="s">
        <v>14</v>
      </c>
      <c r="I98" s="48">
        <v>6380</v>
      </c>
      <c r="J98" s="48">
        <v>6380</v>
      </c>
      <c r="K98" s="82">
        <v>7.8</v>
      </c>
      <c r="L98" s="82">
        <v>2.2999999999999998</v>
      </c>
      <c r="M98" s="82">
        <v>2.39</v>
      </c>
      <c r="N98" s="38" t="s">
        <v>85</v>
      </c>
    </row>
    <row r="99" spans="1:14" s="8" customFormat="1" ht="20.399999999999999" x14ac:dyDescent="0.25">
      <c r="A99" s="140" t="s">
        <v>1318</v>
      </c>
      <c r="B99" s="140" t="s">
        <v>895</v>
      </c>
      <c r="C99" s="34" t="s">
        <v>18</v>
      </c>
      <c r="D99" s="35" t="s">
        <v>46</v>
      </c>
      <c r="E99" s="35">
        <v>1</v>
      </c>
      <c r="F99" s="46" t="s">
        <v>47</v>
      </c>
      <c r="G99" s="75">
        <v>1</v>
      </c>
      <c r="H99" s="76" t="s">
        <v>14</v>
      </c>
      <c r="I99" s="48">
        <v>365</v>
      </c>
      <c r="J99" s="48">
        <v>385</v>
      </c>
      <c r="K99" s="82">
        <v>1.3</v>
      </c>
      <c r="L99" s="82">
        <v>1.3</v>
      </c>
      <c r="M99" s="82">
        <v>0.5</v>
      </c>
      <c r="N99" s="38" t="s">
        <v>85</v>
      </c>
    </row>
    <row r="100" spans="1:14" s="8" customFormat="1" ht="20.399999999999999" x14ac:dyDescent="0.25">
      <c r="A100" s="140" t="s">
        <v>1318</v>
      </c>
      <c r="B100" s="140" t="s">
        <v>895</v>
      </c>
      <c r="C100" s="34" t="s">
        <v>18</v>
      </c>
      <c r="D100" s="35" t="s">
        <v>46</v>
      </c>
      <c r="E100" s="35">
        <v>1</v>
      </c>
      <c r="F100" s="46" t="s">
        <v>48</v>
      </c>
      <c r="G100" s="75">
        <v>1</v>
      </c>
      <c r="H100" s="76" t="s">
        <v>14</v>
      </c>
      <c r="I100" s="48">
        <v>460</v>
      </c>
      <c r="J100" s="48">
        <v>480</v>
      </c>
      <c r="K100" s="82">
        <v>1.1000000000000001</v>
      </c>
      <c r="L100" s="82">
        <v>1.3</v>
      </c>
      <c r="M100" s="82">
        <v>0.6</v>
      </c>
      <c r="N100" s="38" t="s">
        <v>85</v>
      </c>
    </row>
    <row r="101" spans="1:14" s="8" customFormat="1" ht="20.399999999999999" x14ac:dyDescent="0.25">
      <c r="A101" s="140" t="s">
        <v>1318</v>
      </c>
      <c r="B101" s="140" t="s">
        <v>895</v>
      </c>
      <c r="C101" s="34" t="s">
        <v>18</v>
      </c>
      <c r="D101" s="35" t="s">
        <v>46</v>
      </c>
      <c r="E101" s="35">
        <v>1</v>
      </c>
      <c r="F101" s="46" t="s">
        <v>49</v>
      </c>
      <c r="G101" s="75">
        <v>1</v>
      </c>
      <c r="H101" s="76" t="s">
        <v>14</v>
      </c>
      <c r="I101" s="48">
        <v>460</v>
      </c>
      <c r="J101" s="48">
        <v>480</v>
      </c>
      <c r="K101" s="82">
        <v>1.1000000000000001</v>
      </c>
      <c r="L101" s="82">
        <v>1.3</v>
      </c>
      <c r="M101" s="82">
        <v>0.6</v>
      </c>
      <c r="N101" s="38" t="s">
        <v>85</v>
      </c>
    </row>
    <row r="102" spans="1:14" s="8" customFormat="1" ht="20.399999999999999" x14ac:dyDescent="0.25">
      <c r="A102" s="140" t="s">
        <v>1318</v>
      </c>
      <c r="B102" s="140" t="s">
        <v>895</v>
      </c>
      <c r="C102" s="34" t="s">
        <v>18</v>
      </c>
      <c r="D102" s="35" t="s">
        <v>46</v>
      </c>
      <c r="E102" s="35">
        <v>1</v>
      </c>
      <c r="F102" s="46" t="s">
        <v>496</v>
      </c>
      <c r="G102" s="75">
        <v>1</v>
      </c>
      <c r="H102" s="76" t="s">
        <v>14</v>
      </c>
      <c r="I102" s="48">
        <v>460</v>
      </c>
      <c r="J102" s="48">
        <v>480</v>
      </c>
      <c r="K102" s="82">
        <v>1.1000000000000001</v>
      </c>
      <c r="L102" s="82">
        <v>1.3</v>
      </c>
      <c r="M102" s="82">
        <v>0.6</v>
      </c>
      <c r="N102" s="38" t="s">
        <v>85</v>
      </c>
    </row>
    <row r="103" spans="1:14" s="8" customFormat="1" ht="20.399999999999999" x14ac:dyDescent="0.25">
      <c r="A103" s="140" t="s">
        <v>1318</v>
      </c>
      <c r="B103" s="140" t="s">
        <v>895</v>
      </c>
      <c r="C103" s="34" t="s">
        <v>21</v>
      </c>
      <c r="D103" s="35" t="s">
        <v>50</v>
      </c>
      <c r="E103" s="35">
        <v>1</v>
      </c>
      <c r="F103" s="46" t="s">
        <v>496</v>
      </c>
      <c r="G103" s="75">
        <v>1</v>
      </c>
      <c r="H103" s="73" t="s">
        <v>14</v>
      </c>
      <c r="I103" s="48">
        <v>1400</v>
      </c>
      <c r="J103" s="48">
        <v>1400</v>
      </c>
      <c r="K103" s="82">
        <v>2.6</v>
      </c>
      <c r="L103" s="82">
        <v>1.35</v>
      </c>
      <c r="M103" s="82">
        <v>2.6</v>
      </c>
      <c r="N103" s="38" t="s">
        <v>85</v>
      </c>
    </row>
    <row r="104" spans="1:14" s="8" customFormat="1" ht="39.6" x14ac:dyDescent="0.25">
      <c r="A104" s="140" t="s">
        <v>1318</v>
      </c>
      <c r="B104" s="140" t="s">
        <v>895</v>
      </c>
      <c r="C104" s="34" t="s">
        <v>18</v>
      </c>
      <c r="D104" s="35" t="s">
        <v>821</v>
      </c>
      <c r="E104" s="35">
        <v>1</v>
      </c>
      <c r="F104" s="46" t="s">
        <v>822</v>
      </c>
      <c r="G104" s="75">
        <v>23</v>
      </c>
      <c r="H104" s="73" t="s">
        <v>14</v>
      </c>
      <c r="I104" s="48">
        <v>320</v>
      </c>
      <c r="J104" s="48">
        <v>345</v>
      </c>
      <c r="K104" s="82">
        <v>1.86</v>
      </c>
      <c r="L104" s="82">
        <v>1</v>
      </c>
      <c r="M104" s="82">
        <v>0.4</v>
      </c>
      <c r="N104" s="38" t="s">
        <v>85</v>
      </c>
    </row>
    <row r="105" spans="1:14" s="8" customFormat="1" ht="20.399999999999999" x14ac:dyDescent="0.25">
      <c r="A105" s="140" t="s">
        <v>1318</v>
      </c>
      <c r="B105" s="140" t="s">
        <v>895</v>
      </c>
      <c r="C105" s="34" t="s">
        <v>21</v>
      </c>
      <c r="D105" s="35" t="s">
        <v>23</v>
      </c>
      <c r="E105" s="35">
        <v>1</v>
      </c>
      <c r="F105" s="46" t="s">
        <v>823</v>
      </c>
      <c r="G105" s="75">
        <v>1</v>
      </c>
      <c r="H105" s="73" t="s">
        <v>14</v>
      </c>
      <c r="I105" s="48">
        <v>235</v>
      </c>
      <c r="J105" s="48">
        <v>235</v>
      </c>
      <c r="K105" s="82">
        <v>3.5</v>
      </c>
      <c r="L105" s="82">
        <v>0.65</v>
      </c>
      <c r="M105" s="82">
        <v>0.7</v>
      </c>
      <c r="N105" s="38" t="s">
        <v>85</v>
      </c>
    </row>
    <row r="106" spans="1:14" s="8" customFormat="1" ht="26.4" x14ac:dyDescent="0.25">
      <c r="A106" s="140" t="s">
        <v>1318</v>
      </c>
      <c r="B106" s="140" t="s">
        <v>895</v>
      </c>
      <c r="C106" s="34" t="s">
        <v>21</v>
      </c>
      <c r="D106" s="35" t="s">
        <v>51</v>
      </c>
      <c r="E106" s="35">
        <v>1</v>
      </c>
      <c r="F106" s="46" t="s">
        <v>824</v>
      </c>
      <c r="G106" s="75">
        <v>1</v>
      </c>
      <c r="H106" s="73" t="s">
        <v>14</v>
      </c>
      <c r="I106" s="48">
        <v>850</v>
      </c>
      <c r="J106" s="48">
        <v>850</v>
      </c>
      <c r="K106" s="82">
        <v>9.3000000000000007</v>
      </c>
      <c r="L106" s="82">
        <v>0.6</v>
      </c>
      <c r="M106" s="82">
        <v>0.6</v>
      </c>
      <c r="N106" s="38" t="s">
        <v>85</v>
      </c>
    </row>
    <row r="107" spans="1:14" s="8" customFormat="1" ht="26.4" x14ac:dyDescent="0.25">
      <c r="A107" s="140" t="s">
        <v>1318</v>
      </c>
      <c r="B107" s="140" t="s">
        <v>895</v>
      </c>
      <c r="C107" s="34" t="s">
        <v>21</v>
      </c>
      <c r="D107" s="35" t="s">
        <v>825</v>
      </c>
      <c r="E107" s="35">
        <v>1</v>
      </c>
      <c r="F107" s="46" t="s">
        <v>826</v>
      </c>
      <c r="G107" s="75">
        <v>2</v>
      </c>
      <c r="H107" s="73" t="s">
        <v>14</v>
      </c>
      <c r="I107" s="48">
        <v>2070</v>
      </c>
      <c r="J107" s="48">
        <v>2070</v>
      </c>
      <c r="K107" s="82">
        <v>4.2</v>
      </c>
      <c r="L107" s="82">
        <v>2.4500000000000002</v>
      </c>
      <c r="M107" s="82">
        <v>2</v>
      </c>
      <c r="N107" s="38" t="s">
        <v>85</v>
      </c>
    </row>
    <row r="108" spans="1:14" s="8" customFormat="1" ht="26.4" x14ac:dyDescent="0.25">
      <c r="A108" s="140" t="s">
        <v>1318</v>
      </c>
      <c r="B108" s="140" t="s">
        <v>895</v>
      </c>
      <c r="C108" s="34" t="s">
        <v>21</v>
      </c>
      <c r="D108" s="35" t="s">
        <v>827</v>
      </c>
      <c r="E108" s="35">
        <v>1</v>
      </c>
      <c r="F108" s="46" t="s">
        <v>828</v>
      </c>
      <c r="G108" s="75">
        <v>2</v>
      </c>
      <c r="H108" s="73" t="s">
        <v>14</v>
      </c>
      <c r="I108" s="48">
        <v>870</v>
      </c>
      <c r="J108" s="48">
        <v>870</v>
      </c>
      <c r="K108" s="82">
        <v>4.4000000000000004</v>
      </c>
      <c r="L108" s="82">
        <v>1.4</v>
      </c>
      <c r="M108" s="82">
        <v>1.4</v>
      </c>
      <c r="N108" s="38" t="s">
        <v>85</v>
      </c>
    </row>
    <row r="109" spans="1:14" s="8" customFormat="1" ht="20.399999999999999" x14ac:dyDescent="0.25">
      <c r="A109" s="140" t="s">
        <v>1318</v>
      </c>
      <c r="B109" s="140" t="s">
        <v>895</v>
      </c>
      <c r="C109" s="34" t="s">
        <v>21</v>
      </c>
      <c r="D109" s="35" t="s">
        <v>29</v>
      </c>
      <c r="E109" s="35">
        <v>1</v>
      </c>
      <c r="F109" s="46" t="s">
        <v>829</v>
      </c>
      <c r="G109" s="75">
        <v>1</v>
      </c>
      <c r="H109" s="73" t="s">
        <v>14</v>
      </c>
      <c r="I109" s="48">
        <v>855</v>
      </c>
      <c r="J109" s="48">
        <v>855</v>
      </c>
      <c r="K109" s="82">
        <v>3.2</v>
      </c>
      <c r="L109" s="82">
        <v>2.1</v>
      </c>
      <c r="M109" s="82">
        <v>2.1</v>
      </c>
      <c r="N109" s="38" t="s">
        <v>85</v>
      </c>
    </row>
    <row r="110" spans="1:14" s="8" customFormat="1" ht="26.4" x14ac:dyDescent="0.25">
      <c r="A110" s="140" t="s">
        <v>1318</v>
      </c>
      <c r="B110" s="140" t="s">
        <v>895</v>
      </c>
      <c r="C110" s="34" t="s">
        <v>21</v>
      </c>
      <c r="D110" s="35" t="s">
        <v>830</v>
      </c>
      <c r="E110" s="35">
        <v>1</v>
      </c>
      <c r="F110" s="46" t="s">
        <v>831</v>
      </c>
      <c r="G110" s="75">
        <v>2</v>
      </c>
      <c r="H110" s="76" t="s">
        <v>14</v>
      </c>
      <c r="I110" s="48">
        <v>1340</v>
      </c>
      <c r="J110" s="48">
        <v>1340</v>
      </c>
      <c r="K110" s="82">
        <v>7.91</v>
      </c>
      <c r="L110" s="82">
        <v>1.4</v>
      </c>
      <c r="M110" s="82">
        <v>1.1000000000000001</v>
      </c>
      <c r="N110" s="38" t="s">
        <v>85</v>
      </c>
    </row>
    <row r="111" spans="1:14" s="8" customFormat="1" ht="20.399999999999999" x14ac:dyDescent="0.25">
      <c r="A111" s="140" t="s">
        <v>1318</v>
      </c>
      <c r="B111" s="140" t="s">
        <v>895</v>
      </c>
      <c r="C111" s="34" t="s">
        <v>21</v>
      </c>
      <c r="D111" s="35" t="s">
        <v>22</v>
      </c>
      <c r="E111" s="35">
        <v>1</v>
      </c>
      <c r="F111" s="46" t="s">
        <v>832</v>
      </c>
      <c r="G111" s="75">
        <v>1</v>
      </c>
      <c r="H111" s="73" t="s">
        <v>14</v>
      </c>
      <c r="I111" s="48">
        <v>940</v>
      </c>
      <c r="J111" s="48">
        <v>940</v>
      </c>
      <c r="K111" s="82">
        <v>7.09</v>
      </c>
      <c r="L111" s="82">
        <v>1.25</v>
      </c>
      <c r="M111" s="82">
        <v>1.08</v>
      </c>
      <c r="N111" s="38" t="s">
        <v>85</v>
      </c>
    </row>
    <row r="112" spans="1:14" s="8" customFormat="1" ht="20.399999999999999" x14ac:dyDescent="0.25">
      <c r="A112" s="140" t="s">
        <v>1318</v>
      </c>
      <c r="B112" s="140" t="s">
        <v>895</v>
      </c>
      <c r="C112" s="34" t="s">
        <v>21</v>
      </c>
      <c r="D112" s="35" t="s">
        <v>30</v>
      </c>
      <c r="E112" s="35">
        <v>1</v>
      </c>
      <c r="F112" s="46" t="s">
        <v>833</v>
      </c>
      <c r="G112" s="75">
        <v>1</v>
      </c>
      <c r="H112" s="73" t="s">
        <v>14</v>
      </c>
      <c r="I112" s="48">
        <v>420</v>
      </c>
      <c r="J112" s="48">
        <v>420</v>
      </c>
      <c r="K112" s="82">
        <v>3.55</v>
      </c>
      <c r="L112" s="82">
        <v>1.1499999999999999</v>
      </c>
      <c r="M112" s="82">
        <v>1.1499999999999999</v>
      </c>
      <c r="N112" s="38" t="s">
        <v>85</v>
      </c>
    </row>
    <row r="113" spans="1:14" s="8" customFormat="1" ht="20.399999999999999" x14ac:dyDescent="0.25">
      <c r="A113" s="140" t="s">
        <v>1318</v>
      </c>
      <c r="B113" s="140" t="s">
        <v>895</v>
      </c>
      <c r="C113" s="34" t="s">
        <v>21</v>
      </c>
      <c r="D113" s="35" t="s">
        <v>31</v>
      </c>
      <c r="E113" s="35">
        <v>1</v>
      </c>
      <c r="F113" s="46" t="s">
        <v>834</v>
      </c>
      <c r="G113" s="75">
        <v>1</v>
      </c>
      <c r="H113" s="73" t="s">
        <v>14</v>
      </c>
      <c r="I113" s="48">
        <v>3165</v>
      </c>
      <c r="J113" s="48">
        <v>3165</v>
      </c>
      <c r="K113" s="82" t="s">
        <v>479</v>
      </c>
      <c r="L113" s="82">
        <v>1.95</v>
      </c>
      <c r="M113" s="82">
        <v>1.95</v>
      </c>
      <c r="N113" s="38" t="s">
        <v>85</v>
      </c>
    </row>
    <row r="114" spans="1:14" s="8" customFormat="1" ht="20.399999999999999" x14ac:dyDescent="0.25">
      <c r="A114" s="140" t="s">
        <v>1318</v>
      </c>
      <c r="B114" s="140" t="s">
        <v>895</v>
      </c>
      <c r="C114" s="34" t="s">
        <v>21</v>
      </c>
      <c r="D114" s="35" t="s">
        <v>32</v>
      </c>
      <c r="E114" s="35">
        <v>1</v>
      </c>
      <c r="F114" s="46" t="s">
        <v>835</v>
      </c>
      <c r="G114" s="75">
        <v>1</v>
      </c>
      <c r="H114" s="73" t="s">
        <v>14</v>
      </c>
      <c r="I114" s="48">
        <v>3330</v>
      </c>
      <c r="J114" s="48">
        <v>3330</v>
      </c>
      <c r="K114" s="82">
        <v>6.8</v>
      </c>
      <c r="L114" s="82">
        <v>1.84</v>
      </c>
      <c r="M114" s="82">
        <v>1.35</v>
      </c>
      <c r="N114" s="38" t="s">
        <v>85</v>
      </c>
    </row>
    <row r="115" spans="1:14" s="8" customFormat="1" ht="20.399999999999999" x14ac:dyDescent="0.25">
      <c r="A115" s="140" t="s">
        <v>1318</v>
      </c>
      <c r="B115" s="140" t="s">
        <v>895</v>
      </c>
      <c r="C115" s="34" t="s">
        <v>21</v>
      </c>
      <c r="D115" s="35" t="s">
        <v>33</v>
      </c>
      <c r="E115" s="35">
        <v>1</v>
      </c>
      <c r="F115" s="46" t="s">
        <v>836</v>
      </c>
      <c r="G115" s="75">
        <v>1</v>
      </c>
      <c r="H115" s="73" t="s">
        <v>14</v>
      </c>
      <c r="I115" s="48">
        <v>1875</v>
      </c>
      <c r="J115" s="48">
        <v>1875</v>
      </c>
      <c r="K115" s="82">
        <v>5.6</v>
      </c>
      <c r="L115" s="82">
        <v>1.9</v>
      </c>
      <c r="M115" s="82">
        <v>1.05</v>
      </c>
      <c r="N115" s="38" t="s">
        <v>85</v>
      </c>
    </row>
    <row r="116" spans="1:14" s="8" customFormat="1" ht="20.399999999999999" x14ac:dyDescent="0.25">
      <c r="A116" s="140" t="s">
        <v>1318</v>
      </c>
      <c r="B116" s="140" t="s">
        <v>895</v>
      </c>
      <c r="C116" s="34" t="s">
        <v>21</v>
      </c>
      <c r="D116" s="35" t="s">
        <v>34</v>
      </c>
      <c r="E116" s="35">
        <v>1</v>
      </c>
      <c r="F116" s="46" t="s">
        <v>837</v>
      </c>
      <c r="G116" s="75">
        <v>1</v>
      </c>
      <c r="H116" s="73" t="s">
        <v>14</v>
      </c>
      <c r="I116" s="48">
        <v>1025</v>
      </c>
      <c r="J116" s="48">
        <v>1025</v>
      </c>
      <c r="K116" s="82">
        <v>6.47</v>
      </c>
      <c r="L116" s="82">
        <v>1.56</v>
      </c>
      <c r="M116" s="82">
        <v>0.84</v>
      </c>
      <c r="N116" s="38" t="s">
        <v>85</v>
      </c>
    </row>
    <row r="117" spans="1:14" s="8" customFormat="1" ht="26.4" x14ac:dyDescent="0.25">
      <c r="A117" s="140" t="s">
        <v>1318</v>
      </c>
      <c r="B117" s="140" t="s">
        <v>895</v>
      </c>
      <c r="C117" s="34" t="s">
        <v>20</v>
      </c>
      <c r="D117" s="35" t="s">
        <v>371</v>
      </c>
      <c r="E117" s="35">
        <v>1</v>
      </c>
      <c r="F117" s="46" t="s">
        <v>838</v>
      </c>
      <c r="G117" s="75">
        <v>1</v>
      </c>
      <c r="H117" s="73" t="s">
        <v>14</v>
      </c>
      <c r="I117" s="48">
        <v>430</v>
      </c>
      <c r="J117" s="48">
        <v>500</v>
      </c>
      <c r="K117" s="82">
        <v>1.3</v>
      </c>
      <c r="L117" s="82">
        <v>1.3</v>
      </c>
      <c r="M117" s="82">
        <v>0.8</v>
      </c>
      <c r="N117" s="38" t="s">
        <v>85</v>
      </c>
    </row>
    <row r="118" spans="1:14" s="8" customFormat="1" ht="26.4" x14ac:dyDescent="0.25">
      <c r="A118" s="140" t="s">
        <v>1318</v>
      </c>
      <c r="B118" s="140" t="s">
        <v>895</v>
      </c>
      <c r="C118" s="34" t="s">
        <v>21</v>
      </c>
      <c r="D118" s="35" t="s">
        <v>52</v>
      </c>
      <c r="E118" s="35">
        <v>1</v>
      </c>
      <c r="F118" s="123" t="s">
        <v>862</v>
      </c>
      <c r="G118" s="75">
        <v>1</v>
      </c>
      <c r="H118" s="73" t="s">
        <v>14</v>
      </c>
      <c r="I118" s="48">
        <v>21720</v>
      </c>
      <c r="J118" s="48">
        <v>22260</v>
      </c>
      <c r="K118" s="84">
        <v>8.4499999999999993</v>
      </c>
      <c r="L118" s="84">
        <v>3.61</v>
      </c>
      <c r="M118" s="84">
        <v>3.37</v>
      </c>
      <c r="N118" s="38" t="s">
        <v>85</v>
      </c>
    </row>
    <row r="119" spans="1:14" s="8" customFormat="1" ht="20.399999999999999" x14ac:dyDescent="0.25">
      <c r="A119" s="140" t="s">
        <v>1318</v>
      </c>
      <c r="B119" s="140" t="s">
        <v>895</v>
      </c>
      <c r="C119" s="34" t="s">
        <v>21</v>
      </c>
      <c r="D119" s="35" t="s">
        <v>52</v>
      </c>
      <c r="E119" s="35">
        <v>1</v>
      </c>
      <c r="F119" s="123" t="s">
        <v>839</v>
      </c>
      <c r="G119" s="75">
        <v>1</v>
      </c>
      <c r="H119" s="73" t="s">
        <v>14</v>
      </c>
      <c r="I119" s="48">
        <v>400</v>
      </c>
      <c r="J119" s="48">
        <v>400</v>
      </c>
      <c r="K119" s="84">
        <v>3.15</v>
      </c>
      <c r="L119" s="84">
        <v>0.32</v>
      </c>
      <c r="M119" s="84">
        <v>0.56999999999999995</v>
      </c>
      <c r="N119" s="38" t="s">
        <v>85</v>
      </c>
    </row>
    <row r="120" spans="1:14" s="8" customFormat="1" ht="20.399999999999999" x14ac:dyDescent="0.25">
      <c r="A120" s="140" t="s">
        <v>1318</v>
      </c>
      <c r="B120" s="140" t="s">
        <v>895</v>
      </c>
      <c r="C120" s="34" t="s">
        <v>21</v>
      </c>
      <c r="D120" s="35" t="s">
        <v>52</v>
      </c>
      <c r="E120" s="35">
        <v>1</v>
      </c>
      <c r="F120" s="123" t="s">
        <v>840</v>
      </c>
      <c r="G120" s="75">
        <v>1</v>
      </c>
      <c r="H120" s="76" t="s">
        <v>14</v>
      </c>
      <c r="I120" s="48">
        <v>60</v>
      </c>
      <c r="J120" s="48">
        <v>60</v>
      </c>
      <c r="K120" s="82">
        <v>0.95</v>
      </c>
      <c r="L120" s="82">
        <v>0.6</v>
      </c>
      <c r="M120" s="82">
        <v>0.6</v>
      </c>
      <c r="N120" s="38" t="s">
        <v>85</v>
      </c>
    </row>
    <row r="121" spans="1:14" s="8" customFormat="1" ht="20.399999999999999" x14ac:dyDescent="0.25">
      <c r="A121" s="140" t="s">
        <v>1321</v>
      </c>
      <c r="B121" s="140" t="s">
        <v>895</v>
      </c>
      <c r="C121" s="34" t="s">
        <v>21</v>
      </c>
      <c r="D121" s="35" t="s">
        <v>52</v>
      </c>
      <c r="E121" s="35">
        <v>1</v>
      </c>
      <c r="F121" s="123" t="s">
        <v>856</v>
      </c>
      <c r="G121" s="75"/>
      <c r="H121" s="131"/>
      <c r="I121" s="48">
        <v>1570</v>
      </c>
      <c r="J121" s="48">
        <v>1570</v>
      </c>
      <c r="K121" s="82"/>
      <c r="L121" s="82"/>
      <c r="M121" s="82"/>
      <c r="N121" s="38" t="s">
        <v>85</v>
      </c>
    </row>
    <row r="122" spans="1:14" s="8" customFormat="1" ht="20.399999999999999" x14ac:dyDescent="0.25">
      <c r="A122" s="140" t="s">
        <v>1318</v>
      </c>
      <c r="B122" s="140" t="s">
        <v>895</v>
      </c>
      <c r="C122" s="34" t="s">
        <v>21</v>
      </c>
      <c r="D122" s="35" t="s">
        <v>52</v>
      </c>
      <c r="E122" s="35">
        <v>1</v>
      </c>
      <c r="F122" s="123" t="s">
        <v>857</v>
      </c>
      <c r="G122" s="75"/>
      <c r="H122" s="131"/>
      <c r="I122" s="48">
        <v>400</v>
      </c>
      <c r="J122" s="48">
        <v>400</v>
      </c>
      <c r="K122" s="82"/>
      <c r="L122" s="82"/>
      <c r="M122" s="82"/>
      <c r="N122" s="38" t="s">
        <v>85</v>
      </c>
    </row>
    <row r="123" spans="1:14" s="8" customFormat="1" ht="20.399999999999999" x14ac:dyDescent="0.25">
      <c r="A123" s="140" t="s">
        <v>1318</v>
      </c>
      <c r="B123" s="140" t="s">
        <v>895</v>
      </c>
      <c r="C123" s="34" t="s">
        <v>21</v>
      </c>
      <c r="D123" s="35" t="s">
        <v>52</v>
      </c>
      <c r="E123" s="35">
        <v>1</v>
      </c>
      <c r="F123" s="123" t="s">
        <v>858</v>
      </c>
      <c r="G123" s="75"/>
      <c r="H123" s="131"/>
      <c r="I123" s="48">
        <v>340</v>
      </c>
      <c r="J123" s="48">
        <v>340</v>
      </c>
      <c r="K123" s="82"/>
      <c r="L123" s="82"/>
      <c r="M123" s="82"/>
      <c r="N123" s="38" t="s">
        <v>85</v>
      </c>
    </row>
    <row r="124" spans="1:14" s="8" customFormat="1" ht="20.399999999999999" x14ac:dyDescent="0.25">
      <c r="A124" s="140" t="s">
        <v>1318</v>
      </c>
      <c r="B124" s="140" t="s">
        <v>895</v>
      </c>
      <c r="C124" s="34" t="s">
        <v>21</v>
      </c>
      <c r="D124" s="35" t="s">
        <v>52</v>
      </c>
      <c r="E124" s="35">
        <v>1</v>
      </c>
      <c r="F124" s="123" t="s">
        <v>859</v>
      </c>
      <c r="G124" s="75"/>
      <c r="H124" s="131"/>
      <c r="I124" s="48">
        <v>310</v>
      </c>
      <c r="J124" s="48">
        <v>310</v>
      </c>
      <c r="K124" s="82"/>
      <c r="L124" s="82"/>
      <c r="M124" s="82"/>
      <c r="N124" s="38" t="s">
        <v>85</v>
      </c>
    </row>
    <row r="125" spans="1:14" s="8" customFormat="1" ht="20.399999999999999" x14ac:dyDescent="0.25">
      <c r="A125" s="140" t="s">
        <v>1318</v>
      </c>
      <c r="B125" s="140" t="s">
        <v>895</v>
      </c>
      <c r="C125" s="34" t="s">
        <v>21</v>
      </c>
      <c r="D125" s="35" t="s">
        <v>52</v>
      </c>
      <c r="E125" s="35">
        <v>1</v>
      </c>
      <c r="F125" s="123" t="s">
        <v>860</v>
      </c>
      <c r="G125" s="75"/>
      <c r="H125" s="131"/>
      <c r="I125" s="48">
        <v>2000</v>
      </c>
      <c r="J125" s="48">
        <v>2000</v>
      </c>
      <c r="K125" s="82"/>
      <c r="L125" s="82"/>
      <c r="M125" s="82"/>
      <c r="N125" s="38" t="s">
        <v>85</v>
      </c>
    </row>
    <row r="126" spans="1:14" s="8" customFormat="1" ht="20.399999999999999" x14ac:dyDescent="0.25">
      <c r="A126" s="140" t="s">
        <v>1318</v>
      </c>
      <c r="B126" s="140" t="s">
        <v>895</v>
      </c>
      <c r="C126" s="34" t="s">
        <v>21</v>
      </c>
      <c r="D126" s="35" t="s">
        <v>52</v>
      </c>
      <c r="E126" s="35">
        <v>1</v>
      </c>
      <c r="F126" s="123" t="s">
        <v>861</v>
      </c>
      <c r="G126" s="75"/>
      <c r="H126" s="131"/>
      <c r="I126" s="48">
        <v>17100</v>
      </c>
      <c r="J126" s="48">
        <v>17100</v>
      </c>
      <c r="K126" s="82"/>
      <c r="L126" s="82"/>
      <c r="M126" s="82"/>
      <c r="N126" s="38" t="s">
        <v>85</v>
      </c>
    </row>
    <row r="127" spans="1:14" s="8" customFormat="1" ht="20.399999999999999" x14ac:dyDescent="0.25">
      <c r="A127" s="140" t="s">
        <v>1318</v>
      </c>
      <c r="B127" s="140" t="s">
        <v>895</v>
      </c>
      <c r="C127" s="34" t="s">
        <v>21</v>
      </c>
      <c r="D127" s="35" t="s">
        <v>52</v>
      </c>
      <c r="E127" s="35">
        <v>1</v>
      </c>
      <c r="F127" s="123" t="s">
        <v>863</v>
      </c>
      <c r="G127" s="75">
        <v>1</v>
      </c>
      <c r="H127" s="131" t="s">
        <v>14</v>
      </c>
      <c r="I127" s="48">
        <v>370</v>
      </c>
      <c r="J127" s="48">
        <v>370</v>
      </c>
      <c r="K127" s="82">
        <v>1.24</v>
      </c>
      <c r="L127" s="82">
        <v>0.4</v>
      </c>
      <c r="M127" s="82">
        <v>0.4</v>
      </c>
      <c r="N127" s="38" t="s">
        <v>85</v>
      </c>
    </row>
    <row r="128" spans="1:14" s="8" customFormat="1" ht="20.399999999999999" x14ac:dyDescent="0.25">
      <c r="A128" s="140" t="s">
        <v>1318</v>
      </c>
      <c r="B128" s="140" t="s">
        <v>895</v>
      </c>
      <c r="C128" s="34" t="s">
        <v>18</v>
      </c>
      <c r="D128" s="35" t="s">
        <v>841</v>
      </c>
      <c r="E128" s="35">
        <v>1</v>
      </c>
      <c r="F128" s="46" t="s">
        <v>842</v>
      </c>
      <c r="G128" s="75">
        <v>1</v>
      </c>
      <c r="H128" s="129" t="s">
        <v>14</v>
      </c>
      <c r="I128" s="48">
        <v>450</v>
      </c>
      <c r="J128" s="48">
        <v>460</v>
      </c>
      <c r="K128" s="82">
        <v>0.65</v>
      </c>
      <c r="L128" s="82">
        <v>0.65</v>
      </c>
      <c r="M128" s="82">
        <v>0.65</v>
      </c>
      <c r="N128" s="38" t="s">
        <v>85</v>
      </c>
    </row>
    <row r="129" spans="1:14" s="8" customFormat="1" ht="26.4" x14ac:dyDescent="0.25">
      <c r="A129" s="140" t="s">
        <v>1318</v>
      </c>
      <c r="B129" s="140" t="s">
        <v>895</v>
      </c>
      <c r="C129" s="34" t="s">
        <v>21</v>
      </c>
      <c r="D129" s="35" t="s">
        <v>843</v>
      </c>
      <c r="E129" s="35">
        <v>1</v>
      </c>
      <c r="F129" s="46" t="s">
        <v>844</v>
      </c>
      <c r="G129" s="75">
        <v>1</v>
      </c>
      <c r="H129" s="73" t="s">
        <v>14</v>
      </c>
      <c r="I129" s="51">
        <v>215</v>
      </c>
      <c r="J129" s="51">
        <v>215</v>
      </c>
      <c r="K129" s="82">
        <v>1.35</v>
      </c>
      <c r="L129" s="82">
        <v>0.37</v>
      </c>
      <c r="M129" s="82">
        <v>0.45</v>
      </c>
      <c r="N129" s="38" t="s">
        <v>85</v>
      </c>
    </row>
    <row r="130" spans="1:14" s="8" customFormat="1" ht="26.4" x14ac:dyDescent="0.25">
      <c r="A130" s="140" t="s">
        <v>1318</v>
      </c>
      <c r="B130" s="140" t="s">
        <v>895</v>
      </c>
      <c r="C130" s="34" t="s">
        <v>21</v>
      </c>
      <c r="D130" s="35" t="s">
        <v>901</v>
      </c>
      <c r="E130" s="35">
        <v>1</v>
      </c>
      <c r="F130" s="46" t="s">
        <v>845</v>
      </c>
      <c r="G130" s="75">
        <v>2</v>
      </c>
      <c r="H130" s="73" t="s">
        <v>14</v>
      </c>
      <c r="I130" s="48">
        <v>1020</v>
      </c>
      <c r="J130" s="48">
        <v>1020</v>
      </c>
      <c r="K130" s="82">
        <v>8.75</v>
      </c>
      <c r="L130" s="82">
        <v>1.41</v>
      </c>
      <c r="M130" s="82">
        <v>0.9</v>
      </c>
      <c r="N130" s="38" t="s">
        <v>85</v>
      </c>
    </row>
    <row r="131" spans="1:14" s="8" customFormat="1" ht="20.399999999999999" x14ac:dyDescent="0.25">
      <c r="A131" s="140" t="s">
        <v>1318</v>
      </c>
      <c r="B131" s="140" t="s">
        <v>895</v>
      </c>
      <c r="C131" s="34" t="s">
        <v>21</v>
      </c>
      <c r="D131" s="35" t="s">
        <v>41</v>
      </c>
      <c r="E131" s="35">
        <v>1</v>
      </c>
      <c r="F131" s="46" t="s">
        <v>846</v>
      </c>
      <c r="G131" s="75">
        <v>1</v>
      </c>
      <c r="H131" s="73" t="s">
        <v>14</v>
      </c>
      <c r="I131" s="48">
        <v>345</v>
      </c>
      <c r="J131" s="48">
        <v>345</v>
      </c>
      <c r="K131" s="82">
        <v>4.0999999999999996</v>
      </c>
      <c r="L131" s="82">
        <v>1.41</v>
      </c>
      <c r="M131" s="82">
        <v>0.72</v>
      </c>
      <c r="N131" s="38" t="s">
        <v>85</v>
      </c>
    </row>
    <row r="132" spans="1:14" s="8" customFormat="1" ht="52.8" x14ac:dyDescent="0.25">
      <c r="A132" s="140" t="s">
        <v>1318</v>
      </c>
      <c r="B132" s="140" t="s">
        <v>895</v>
      </c>
      <c r="C132" s="34" t="s">
        <v>18</v>
      </c>
      <c r="D132" s="35" t="s">
        <v>847</v>
      </c>
      <c r="E132" s="35">
        <v>1</v>
      </c>
      <c r="F132" s="46" t="s">
        <v>848</v>
      </c>
      <c r="G132" s="75">
        <v>12</v>
      </c>
      <c r="H132" s="73" t="s">
        <v>14</v>
      </c>
      <c r="I132" s="48">
        <v>380</v>
      </c>
      <c r="J132" s="48">
        <v>400</v>
      </c>
      <c r="K132" s="82">
        <v>1.6</v>
      </c>
      <c r="L132" s="82">
        <v>1</v>
      </c>
      <c r="M132" s="82">
        <v>0.5</v>
      </c>
      <c r="N132" s="38" t="s">
        <v>85</v>
      </c>
    </row>
    <row r="133" spans="1:14" s="8" customFormat="1" ht="20.399999999999999" x14ac:dyDescent="0.25">
      <c r="A133" s="140" t="s">
        <v>1318</v>
      </c>
      <c r="B133" s="140" t="s">
        <v>895</v>
      </c>
      <c r="C133" s="34" t="s">
        <v>21</v>
      </c>
      <c r="D133" s="35" t="s">
        <v>849</v>
      </c>
      <c r="E133" s="35">
        <v>1</v>
      </c>
      <c r="F133" s="46" t="s">
        <v>837</v>
      </c>
      <c r="G133" s="75">
        <v>1</v>
      </c>
      <c r="H133" s="73" t="s">
        <v>14</v>
      </c>
      <c r="I133" s="48">
        <v>1110</v>
      </c>
      <c r="J133" s="48">
        <v>1110</v>
      </c>
      <c r="K133" s="82">
        <v>3.8</v>
      </c>
      <c r="L133" s="82">
        <v>0.85</v>
      </c>
      <c r="M133" s="82">
        <v>1.25</v>
      </c>
      <c r="N133" s="38" t="s">
        <v>85</v>
      </c>
    </row>
    <row r="134" spans="1:14" s="8" customFormat="1" ht="20.399999999999999" x14ac:dyDescent="0.25">
      <c r="A134" s="140" t="s">
        <v>1322</v>
      </c>
      <c r="B134" s="140" t="s">
        <v>895</v>
      </c>
      <c r="C134" s="34" t="s">
        <v>21</v>
      </c>
      <c r="D134" s="35" t="s">
        <v>35</v>
      </c>
      <c r="E134" s="35">
        <v>1</v>
      </c>
      <c r="F134" s="46" t="s">
        <v>850</v>
      </c>
      <c r="G134" s="75">
        <v>1</v>
      </c>
      <c r="H134" s="73" t="s">
        <v>14</v>
      </c>
      <c r="I134" s="48">
        <v>350</v>
      </c>
      <c r="J134" s="48">
        <v>350</v>
      </c>
      <c r="K134" s="82">
        <v>2.92</v>
      </c>
      <c r="L134" s="82">
        <v>1.5</v>
      </c>
      <c r="M134" s="82">
        <v>1.36</v>
      </c>
      <c r="N134" s="38" t="s">
        <v>85</v>
      </c>
    </row>
    <row r="135" spans="1:14" s="8" customFormat="1" ht="20.399999999999999" x14ac:dyDescent="0.25">
      <c r="A135" s="140" t="s">
        <v>1318</v>
      </c>
      <c r="B135" s="140" t="s">
        <v>895</v>
      </c>
      <c r="C135" s="34" t="s">
        <v>21</v>
      </c>
      <c r="D135" s="35" t="s">
        <v>38</v>
      </c>
      <c r="E135" s="35">
        <v>1</v>
      </c>
      <c r="F135" s="46" t="s">
        <v>39</v>
      </c>
      <c r="G135" s="75">
        <v>1</v>
      </c>
      <c r="H135" s="76" t="s">
        <v>14</v>
      </c>
      <c r="I135" s="48">
        <v>640</v>
      </c>
      <c r="J135" s="48">
        <v>640</v>
      </c>
      <c r="K135" s="82">
        <v>4.5999999999999996</v>
      </c>
      <c r="L135" s="82">
        <v>1.9</v>
      </c>
      <c r="M135" s="82">
        <v>1.5</v>
      </c>
      <c r="N135" s="38" t="s">
        <v>85</v>
      </c>
    </row>
    <row r="136" spans="1:14" s="8" customFormat="1" ht="20.399999999999999" x14ac:dyDescent="0.25">
      <c r="A136" s="140" t="s">
        <v>1318</v>
      </c>
      <c r="B136" s="140" t="s">
        <v>895</v>
      </c>
      <c r="C136" s="34" t="s">
        <v>21</v>
      </c>
      <c r="D136" s="35" t="s">
        <v>851</v>
      </c>
      <c r="E136" s="35">
        <v>1</v>
      </c>
      <c r="F136" s="46" t="s">
        <v>852</v>
      </c>
      <c r="G136" s="75">
        <v>1</v>
      </c>
      <c r="H136" s="76" t="s">
        <v>14</v>
      </c>
      <c r="I136" s="48">
        <v>30</v>
      </c>
      <c r="J136" s="48">
        <v>30</v>
      </c>
      <c r="K136" s="82">
        <v>0.3</v>
      </c>
      <c r="L136" s="82">
        <v>0.3</v>
      </c>
      <c r="M136" s="82">
        <v>0.5</v>
      </c>
      <c r="N136" s="38" t="s">
        <v>85</v>
      </c>
    </row>
    <row r="137" spans="1:14" s="9" customFormat="1" ht="20.399999999999999" x14ac:dyDescent="0.25">
      <c r="A137" s="140" t="s">
        <v>1318</v>
      </c>
      <c r="B137" s="140" t="s">
        <v>895</v>
      </c>
      <c r="C137" s="34" t="s">
        <v>21</v>
      </c>
      <c r="D137" s="35" t="s">
        <v>40</v>
      </c>
      <c r="E137" s="35">
        <v>1</v>
      </c>
      <c r="F137" s="46" t="s">
        <v>742</v>
      </c>
      <c r="G137" s="75">
        <v>1</v>
      </c>
      <c r="H137" s="73" t="s">
        <v>14</v>
      </c>
      <c r="I137" s="48">
        <v>805</v>
      </c>
      <c r="J137" s="48">
        <v>805</v>
      </c>
      <c r="K137" s="82">
        <v>7.95</v>
      </c>
      <c r="L137" s="82">
        <v>1.25</v>
      </c>
      <c r="M137" s="82">
        <v>1.25</v>
      </c>
      <c r="N137" s="38" t="s">
        <v>85</v>
      </c>
    </row>
    <row r="138" spans="1:14" s="9" customFormat="1" ht="66" x14ac:dyDescent="0.25">
      <c r="A138" s="140" t="s">
        <v>1318</v>
      </c>
      <c r="B138" s="140" t="s">
        <v>895</v>
      </c>
      <c r="C138" s="34" t="s">
        <v>21</v>
      </c>
      <c r="D138" s="35" t="s">
        <v>343</v>
      </c>
      <c r="E138" s="35">
        <v>1</v>
      </c>
      <c r="F138" s="46" t="s">
        <v>854</v>
      </c>
      <c r="G138" s="75">
        <v>5</v>
      </c>
      <c r="H138" s="73" t="s">
        <v>14</v>
      </c>
      <c r="I138" s="48">
        <v>2805</v>
      </c>
      <c r="J138" s="48">
        <v>2805</v>
      </c>
      <c r="K138" s="82">
        <v>3.1</v>
      </c>
      <c r="L138" s="82">
        <v>1.2</v>
      </c>
      <c r="M138" s="82">
        <v>1.4</v>
      </c>
      <c r="N138" s="38" t="s">
        <v>85</v>
      </c>
    </row>
    <row r="139" spans="1:14" ht="26.4" x14ac:dyDescent="0.25">
      <c r="A139" s="140" t="s">
        <v>1318</v>
      </c>
      <c r="B139" s="140" t="s">
        <v>895</v>
      </c>
      <c r="C139" s="34" t="s">
        <v>21</v>
      </c>
      <c r="D139" s="35" t="s">
        <v>343</v>
      </c>
      <c r="E139" s="35">
        <v>1</v>
      </c>
      <c r="F139" s="46" t="s">
        <v>855</v>
      </c>
      <c r="G139" s="75">
        <v>1</v>
      </c>
      <c r="H139" s="73" t="s">
        <v>14</v>
      </c>
      <c r="I139" s="48">
        <v>45</v>
      </c>
      <c r="J139" s="48">
        <v>45</v>
      </c>
      <c r="K139" s="82"/>
      <c r="L139" s="82"/>
      <c r="M139" s="82"/>
      <c r="N139" s="38" t="s">
        <v>85</v>
      </c>
    </row>
    <row r="140" spans="1:14" ht="26.4" x14ac:dyDescent="0.25">
      <c r="A140" s="140" t="s">
        <v>1318</v>
      </c>
      <c r="B140" s="140" t="s">
        <v>895</v>
      </c>
      <c r="C140" s="34" t="s">
        <v>21</v>
      </c>
      <c r="D140" s="35" t="s">
        <v>343</v>
      </c>
      <c r="E140" s="35">
        <v>1</v>
      </c>
      <c r="F140" s="46" t="s">
        <v>855</v>
      </c>
      <c r="G140" s="75">
        <v>1</v>
      </c>
      <c r="H140" s="73" t="s">
        <v>14</v>
      </c>
      <c r="I140" s="48">
        <v>35</v>
      </c>
      <c r="J140" s="48">
        <v>35</v>
      </c>
      <c r="K140" s="82"/>
      <c r="L140" s="82"/>
      <c r="M140" s="82"/>
      <c r="N140" s="38" t="s">
        <v>85</v>
      </c>
    </row>
    <row r="141" spans="1:14" ht="20.399999999999999" x14ac:dyDescent="0.25">
      <c r="A141" s="140" t="s">
        <v>1322</v>
      </c>
      <c r="B141" s="140" t="s">
        <v>959</v>
      </c>
      <c r="C141" s="34" t="s">
        <v>21</v>
      </c>
      <c r="D141" s="35" t="s">
        <v>631</v>
      </c>
      <c r="E141" s="35">
        <v>1</v>
      </c>
      <c r="F141" s="46" t="s">
        <v>960</v>
      </c>
      <c r="G141" s="75">
        <v>1</v>
      </c>
      <c r="H141" s="73" t="s">
        <v>14</v>
      </c>
      <c r="I141" s="48">
        <v>2600</v>
      </c>
      <c r="J141" s="48">
        <v>2600</v>
      </c>
      <c r="K141" s="82" t="s">
        <v>479</v>
      </c>
      <c r="L141" s="82">
        <v>1.95</v>
      </c>
      <c r="M141" s="82">
        <v>1.98</v>
      </c>
      <c r="N141" s="38" t="s">
        <v>85</v>
      </c>
    </row>
    <row r="142" spans="1:14" ht="20.399999999999999" x14ac:dyDescent="0.25">
      <c r="A142" s="140" t="s">
        <v>1322</v>
      </c>
      <c r="B142" s="140" t="s">
        <v>959</v>
      </c>
      <c r="C142" s="34" t="s">
        <v>21</v>
      </c>
      <c r="D142" s="35" t="s">
        <v>639</v>
      </c>
      <c r="E142" s="35">
        <v>1</v>
      </c>
      <c r="F142" s="46" t="s">
        <v>961</v>
      </c>
      <c r="G142" s="75">
        <v>1</v>
      </c>
      <c r="H142" s="73" t="s">
        <v>14</v>
      </c>
      <c r="I142" s="48">
        <v>1675</v>
      </c>
      <c r="J142" s="48">
        <v>1675</v>
      </c>
      <c r="K142" s="82">
        <v>5.68</v>
      </c>
      <c r="L142" s="82">
        <v>1.38</v>
      </c>
      <c r="M142" s="82">
        <v>1.02</v>
      </c>
      <c r="N142" s="38" t="s">
        <v>85</v>
      </c>
    </row>
    <row r="143" spans="1:14" ht="20.399999999999999" x14ac:dyDescent="0.25">
      <c r="A143" s="140" t="s">
        <v>1322</v>
      </c>
      <c r="B143" s="140" t="s">
        <v>959</v>
      </c>
      <c r="C143" s="34" t="s">
        <v>21</v>
      </c>
      <c r="D143" s="35" t="s">
        <v>962</v>
      </c>
      <c r="E143" s="35">
        <v>1</v>
      </c>
      <c r="F143" s="46" t="s">
        <v>963</v>
      </c>
      <c r="G143" s="75">
        <v>1</v>
      </c>
      <c r="H143" s="73" t="s">
        <v>14</v>
      </c>
      <c r="I143" s="48">
        <v>20</v>
      </c>
      <c r="J143" s="48">
        <v>20</v>
      </c>
      <c r="K143" s="82">
        <v>0.45</v>
      </c>
      <c r="L143" s="82">
        <v>0.25</v>
      </c>
      <c r="M143" s="82">
        <v>0.55000000000000004</v>
      </c>
      <c r="N143" s="38" t="s">
        <v>85</v>
      </c>
    </row>
    <row r="144" spans="1:14" ht="20.399999999999999" x14ac:dyDescent="0.25">
      <c r="A144" s="140" t="s">
        <v>1322</v>
      </c>
      <c r="B144" s="140" t="s">
        <v>1286</v>
      </c>
      <c r="C144" s="34" t="s">
        <v>1176</v>
      </c>
      <c r="D144" s="141" t="s">
        <v>31</v>
      </c>
      <c r="E144" s="35">
        <v>1</v>
      </c>
      <c r="F144" s="46" t="s">
        <v>1284</v>
      </c>
      <c r="G144" s="72">
        <v>1</v>
      </c>
      <c r="H144" s="76" t="s">
        <v>14</v>
      </c>
      <c r="I144" s="51">
        <v>2830</v>
      </c>
      <c r="J144" s="51">
        <v>2940</v>
      </c>
      <c r="K144" s="82">
        <v>9.15</v>
      </c>
      <c r="L144" s="82">
        <v>1.95</v>
      </c>
      <c r="M144" s="82">
        <v>1.96</v>
      </c>
    </row>
    <row r="145" spans="1:13" ht="20.399999999999999" x14ac:dyDescent="0.25">
      <c r="A145" s="140" t="s">
        <v>1322</v>
      </c>
      <c r="B145" s="140" t="s">
        <v>1287</v>
      </c>
      <c r="C145" s="34" t="s">
        <v>21</v>
      </c>
      <c r="D145" s="141" t="s">
        <v>41</v>
      </c>
      <c r="E145" s="35">
        <v>1</v>
      </c>
      <c r="F145" s="185" t="s">
        <v>1285</v>
      </c>
      <c r="G145" s="72">
        <v>1</v>
      </c>
      <c r="H145" s="76" t="s">
        <v>14</v>
      </c>
      <c r="I145" s="51">
        <v>240</v>
      </c>
      <c r="J145" s="51">
        <v>240</v>
      </c>
      <c r="K145" s="82">
        <v>4.0599999999999996</v>
      </c>
      <c r="L145" s="82">
        <v>0.7</v>
      </c>
      <c r="M145" s="82">
        <v>0.7</v>
      </c>
    </row>
    <row r="146" spans="1:13" x14ac:dyDescent="0.25">
      <c r="B146" s="206"/>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95DA-3DB8-4BBF-B7FF-362CA7E8714A}">
  <dimension ref="A1:P34"/>
  <sheetViews>
    <sheetView zoomScaleNormal="100" workbookViewId="0">
      <selection activeCell="P3" sqref="P3"/>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20.399999999999999" x14ac:dyDescent="0.25">
      <c r="A2" s="140" t="s">
        <v>1323</v>
      </c>
      <c r="B2" s="140" t="s">
        <v>988</v>
      </c>
      <c r="C2" s="34" t="s">
        <v>21</v>
      </c>
      <c r="D2" s="35" t="s">
        <v>616</v>
      </c>
      <c r="E2" s="35">
        <v>1</v>
      </c>
      <c r="F2" s="46" t="s">
        <v>43</v>
      </c>
      <c r="G2" s="75">
        <v>1</v>
      </c>
      <c r="H2" s="76" t="s">
        <v>14</v>
      </c>
      <c r="I2" s="51">
        <v>21900</v>
      </c>
      <c r="J2" s="51">
        <v>21900</v>
      </c>
      <c r="K2" s="82">
        <v>16</v>
      </c>
      <c r="L2" s="82">
        <v>3.53</v>
      </c>
      <c r="M2" s="82">
        <v>4.13</v>
      </c>
      <c r="N2" s="36" t="s">
        <v>452</v>
      </c>
      <c r="O2" s="7"/>
      <c r="P2" s="7"/>
    </row>
    <row r="3" spans="1:16" s="8" customFormat="1" ht="20.399999999999999" x14ac:dyDescent="0.25">
      <c r="A3" s="140" t="s">
        <v>1324</v>
      </c>
      <c r="B3" s="140" t="s">
        <v>988</v>
      </c>
      <c r="C3" s="34" t="s">
        <v>21</v>
      </c>
      <c r="D3" s="35" t="s">
        <v>966</v>
      </c>
      <c r="E3" s="35">
        <v>1</v>
      </c>
      <c r="F3" s="46" t="s">
        <v>374</v>
      </c>
      <c r="G3" s="75">
        <v>1</v>
      </c>
      <c r="H3" s="73" t="s">
        <v>14</v>
      </c>
      <c r="I3" s="51">
        <v>195</v>
      </c>
      <c r="J3" s="51">
        <v>195</v>
      </c>
      <c r="K3" s="82">
        <v>3.33</v>
      </c>
      <c r="L3" s="82">
        <v>0.3</v>
      </c>
      <c r="M3" s="82">
        <v>0.53</v>
      </c>
      <c r="N3" s="36" t="s">
        <v>85</v>
      </c>
      <c r="O3" s="7"/>
      <c r="P3" s="7"/>
    </row>
    <row r="4" spans="1:16" s="8" customFormat="1" ht="20.399999999999999" x14ac:dyDescent="0.25">
      <c r="A4" s="140" t="s">
        <v>1324</v>
      </c>
      <c r="B4" s="140" t="s">
        <v>988</v>
      </c>
      <c r="C4" s="34" t="s">
        <v>21</v>
      </c>
      <c r="D4" s="35" t="s">
        <v>966</v>
      </c>
      <c r="E4" s="35">
        <v>1</v>
      </c>
      <c r="F4" s="46" t="s">
        <v>374</v>
      </c>
      <c r="G4" s="75">
        <v>1</v>
      </c>
      <c r="H4" s="73" t="s">
        <v>14</v>
      </c>
      <c r="I4" s="51">
        <v>195</v>
      </c>
      <c r="J4" s="51">
        <v>195</v>
      </c>
      <c r="K4" s="82">
        <v>3.33</v>
      </c>
      <c r="L4" s="82">
        <v>0.3</v>
      </c>
      <c r="M4" s="82">
        <v>0.53</v>
      </c>
      <c r="N4" s="36" t="s">
        <v>85</v>
      </c>
      <c r="O4" s="7"/>
      <c r="P4" s="7"/>
    </row>
    <row r="5" spans="1:16" s="8" customFormat="1" ht="20.399999999999999" x14ac:dyDescent="0.25">
      <c r="A5" s="140" t="s">
        <v>1324</v>
      </c>
      <c r="B5" s="140" t="s">
        <v>988</v>
      </c>
      <c r="C5" s="34" t="s">
        <v>21</v>
      </c>
      <c r="D5" s="35" t="s">
        <v>967</v>
      </c>
      <c r="E5" s="35">
        <v>1</v>
      </c>
      <c r="F5" s="46" t="s">
        <v>655</v>
      </c>
      <c r="G5" s="75">
        <v>1</v>
      </c>
      <c r="H5" s="73" t="s">
        <v>14</v>
      </c>
      <c r="I5" s="48">
        <v>595</v>
      </c>
      <c r="J5" s="48">
        <v>595</v>
      </c>
      <c r="K5" s="82">
        <v>2.75</v>
      </c>
      <c r="L5" s="82">
        <v>2.66</v>
      </c>
      <c r="M5" s="82">
        <v>2</v>
      </c>
      <c r="N5" s="36" t="s">
        <v>85</v>
      </c>
      <c r="O5" s="7"/>
      <c r="P5" s="7"/>
    </row>
    <row r="6" spans="1:16" s="8" customFormat="1" ht="20.399999999999999" x14ac:dyDescent="0.25">
      <c r="A6" s="140" t="s">
        <v>1324</v>
      </c>
      <c r="B6" s="140" t="s">
        <v>988</v>
      </c>
      <c r="C6" s="34" t="s">
        <v>21</v>
      </c>
      <c r="D6" s="35" t="s">
        <v>967</v>
      </c>
      <c r="E6" s="35">
        <v>1</v>
      </c>
      <c r="F6" s="46" t="s">
        <v>656</v>
      </c>
      <c r="G6" s="75">
        <v>1</v>
      </c>
      <c r="H6" s="73" t="s">
        <v>14</v>
      </c>
      <c r="I6" s="48">
        <v>760</v>
      </c>
      <c r="J6" s="48">
        <v>760</v>
      </c>
      <c r="K6" s="82">
        <v>2.75</v>
      </c>
      <c r="L6" s="82">
        <v>2.66</v>
      </c>
      <c r="M6" s="82">
        <v>1.95</v>
      </c>
      <c r="N6" s="36" t="s">
        <v>85</v>
      </c>
      <c r="O6" s="7"/>
      <c r="P6" s="7"/>
    </row>
    <row r="7" spans="1:16" s="8" customFormat="1" ht="20.399999999999999" x14ac:dyDescent="0.25">
      <c r="A7" s="140" t="s">
        <v>1324</v>
      </c>
      <c r="B7" s="140" t="s">
        <v>988</v>
      </c>
      <c r="C7" s="34" t="s">
        <v>21</v>
      </c>
      <c r="D7" s="35" t="s">
        <v>967</v>
      </c>
      <c r="E7" s="35">
        <v>1</v>
      </c>
      <c r="F7" s="46" t="s">
        <v>657</v>
      </c>
      <c r="G7" s="75">
        <v>1</v>
      </c>
      <c r="H7" s="73" t="s">
        <v>14</v>
      </c>
      <c r="I7" s="48">
        <v>760</v>
      </c>
      <c r="J7" s="48">
        <v>760</v>
      </c>
      <c r="K7" s="82">
        <v>2.75</v>
      </c>
      <c r="L7" s="82">
        <v>2.66</v>
      </c>
      <c r="M7" s="82">
        <v>1.95</v>
      </c>
      <c r="N7" s="36" t="s">
        <v>85</v>
      </c>
      <c r="O7" s="7"/>
      <c r="P7" s="7"/>
    </row>
    <row r="8" spans="1:16" s="8" customFormat="1" ht="20.399999999999999" x14ac:dyDescent="0.25">
      <c r="A8" s="140" t="s">
        <v>1324</v>
      </c>
      <c r="B8" s="140" t="s">
        <v>988</v>
      </c>
      <c r="C8" s="34" t="s">
        <v>21</v>
      </c>
      <c r="D8" s="35" t="s">
        <v>967</v>
      </c>
      <c r="E8" s="35">
        <v>1</v>
      </c>
      <c r="F8" s="46" t="s">
        <v>658</v>
      </c>
      <c r="G8" s="75">
        <v>1</v>
      </c>
      <c r="H8" s="73" t="s">
        <v>14</v>
      </c>
      <c r="I8" s="48">
        <v>905</v>
      </c>
      <c r="J8" s="48">
        <v>905</v>
      </c>
      <c r="K8" s="82">
        <v>2.5499999999999998</v>
      </c>
      <c r="L8" s="82">
        <v>2.66</v>
      </c>
      <c r="M8" s="82">
        <v>1.95</v>
      </c>
      <c r="N8" s="36" t="s">
        <v>85</v>
      </c>
      <c r="O8" s="7"/>
      <c r="P8" s="7"/>
    </row>
    <row r="9" spans="1:16" s="8" customFormat="1" ht="20.399999999999999" x14ac:dyDescent="0.25">
      <c r="A9" s="140" t="s">
        <v>1324</v>
      </c>
      <c r="B9" s="140" t="s">
        <v>988</v>
      </c>
      <c r="C9" s="34" t="s">
        <v>21</v>
      </c>
      <c r="D9" s="35" t="s">
        <v>967</v>
      </c>
      <c r="E9" s="35">
        <v>1</v>
      </c>
      <c r="F9" s="46" t="s">
        <v>659</v>
      </c>
      <c r="G9" s="75">
        <v>1</v>
      </c>
      <c r="H9" s="73" t="s">
        <v>14</v>
      </c>
      <c r="I9" s="48">
        <v>805</v>
      </c>
      <c r="J9" s="48">
        <v>805</v>
      </c>
      <c r="K9" s="82">
        <v>2.82</v>
      </c>
      <c r="L9" s="82">
        <v>2.0099999999999998</v>
      </c>
      <c r="M9" s="82">
        <v>1.51</v>
      </c>
      <c r="N9" s="36" t="s">
        <v>85</v>
      </c>
      <c r="O9" s="7"/>
      <c r="P9" s="7"/>
    </row>
    <row r="10" spans="1:16" s="8" customFormat="1" ht="20.399999999999999" x14ac:dyDescent="0.25">
      <c r="A10" s="140" t="s">
        <v>1324</v>
      </c>
      <c r="B10" s="140" t="s">
        <v>988</v>
      </c>
      <c r="C10" s="34" t="s">
        <v>21</v>
      </c>
      <c r="D10" s="35" t="s">
        <v>968</v>
      </c>
      <c r="E10" s="35">
        <v>58</v>
      </c>
      <c r="F10" s="46" t="s">
        <v>969</v>
      </c>
      <c r="G10" s="75">
        <v>58</v>
      </c>
      <c r="H10" s="73" t="s">
        <v>14</v>
      </c>
      <c r="I10" s="51">
        <v>8700</v>
      </c>
      <c r="J10" s="51">
        <v>8700</v>
      </c>
      <c r="K10" s="82">
        <v>12.5</v>
      </c>
      <c r="L10" s="82">
        <v>2.06</v>
      </c>
      <c r="M10" s="82">
        <v>2.2999999999999998</v>
      </c>
      <c r="N10" s="36" t="s">
        <v>85</v>
      </c>
      <c r="O10" s="7"/>
      <c r="P10" s="7"/>
    </row>
    <row r="11" spans="1:16" s="8" customFormat="1" ht="20.399999999999999" x14ac:dyDescent="0.25">
      <c r="A11" s="140" t="s">
        <v>1324</v>
      </c>
      <c r="B11" s="140" t="s">
        <v>988</v>
      </c>
      <c r="C11" s="34" t="s">
        <v>18</v>
      </c>
      <c r="D11" s="35" t="s">
        <v>970</v>
      </c>
      <c r="E11" s="35">
        <v>1</v>
      </c>
      <c r="F11" s="46" t="s">
        <v>47</v>
      </c>
      <c r="G11" s="75">
        <v>1</v>
      </c>
      <c r="H11" s="76" t="s">
        <v>14</v>
      </c>
      <c r="I11" s="51">
        <v>860</v>
      </c>
      <c r="J11" s="51">
        <v>890</v>
      </c>
      <c r="K11" s="82">
        <v>1.85</v>
      </c>
      <c r="L11" s="82">
        <v>1.7</v>
      </c>
      <c r="M11" s="82">
        <v>0.7</v>
      </c>
      <c r="N11" s="36" t="s">
        <v>85</v>
      </c>
      <c r="O11" s="7"/>
      <c r="P11" s="7"/>
    </row>
    <row r="12" spans="1:16" s="8" customFormat="1" ht="20.399999999999999" x14ac:dyDescent="0.25">
      <c r="A12" s="140" t="s">
        <v>1324</v>
      </c>
      <c r="B12" s="140" t="s">
        <v>988</v>
      </c>
      <c r="C12" s="34" t="s">
        <v>18</v>
      </c>
      <c r="D12" s="35" t="s">
        <v>970</v>
      </c>
      <c r="E12" s="35">
        <v>1</v>
      </c>
      <c r="F12" s="46" t="s">
        <v>48</v>
      </c>
      <c r="G12" s="75">
        <v>1</v>
      </c>
      <c r="H12" s="76" t="s">
        <v>14</v>
      </c>
      <c r="I12" s="51">
        <v>860</v>
      </c>
      <c r="J12" s="51">
        <v>890</v>
      </c>
      <c r="K12" s="82">
        <v>1.7</v>
      </c>
      <c r="L12" s="82">
        <v>1.7</v>
      </c>
      <c r="M12" s="82">
        <v>0.7</v>
      </c>
      <c r="N12" s="36" t="s">
        <v>85</v>
      </c>
      <c r="O12" s="7"/>
      <c r="P12" s="7"/>
    </row>
    <row r="13" spans="1:16" s="8" customFormat="1" ht="26.4" x14ac:dyDescent="0.25">
      <c r="A13" s="140" t="s">
        <v>1323</v>
      </c>
      <c r="B13" s="140" t="s">
        <v>988</v>
      </c>
      <c r="C13" s="34" t="s">
        <v>21</v>
      </c>
      <c r="D13" s="35" t="s">
        <v>722</v>
      </c>
      <c r="E13" s="35">
        <v>1</v>
      </c>
      <c r="F13" s="46" t="s">
        <v>971</v>
      </c>
      <c r="G13" s="75">
        <v>1</v>
      </c>
      <c r="H13" s="73" t="s">
        <v>14</v>
      </c>
      <c r="I13" s="51">
        <v>2240</v>
      </c>
      <c r="J13" s="51">
        <v>2240</v>
      </c>
      <c r="K13" s="82">
        <v>3.1</v>
      </c>
      <c r="L13" s="82">
        <v>2.0099999999999998</v>
      </c>
      <c r="M13" s="82">
        <v>2.7</v>
      </c>
      <c r="N13" s="36" t="s">
        <v>85</v>
      </c>
      <c r="O13" s="7"/>
      <c r="P13" s="7"/>
    </row>
    <row r="14" spans="1:16" s="8" customFormat="1" ht="26.4" x14ac:dyDescent="0.25">
      <c r="A14" s="140" t="s">
        <v>1325</v>
      </c>
      <c r="B14" s="140" t="s">
        <v>988</v>
      </c>
      <c r="C14" s="34" t="s">
        <v>18</v>
      </c>
      <c r="D14" s="35" t="s">
        <v>972</v>
      </c>
      <c r="E14" s="35">
        <v>1</v>
      </c>
      <c r="F14" s="46" t="s">
        <v>973</v>
      </c>
      <c r="G14" s="75">
        <v>1</v>
      </c>
      <c r="H14" s="73" t="s">
        <v>14</v>
      </c>
      <c r="I14" s="48">
        <v>730</v>
      </c>
      <c r="J14" s="48">
        <v>760</v>
      </c>
      <c r="K14" s="82">
        <v>1.2</v>
      </c>
      <c r="L14" s="82">
        <v>0.9</v>
      </c>
      <c r="M14" s="82">
        <v>0.95</v>
      </c>
      <c r="N14" s="36" t="s">
        <v>85</v>
      </c>
      <c r="O14" s="7"/>
      <c r="P14" s="7"/>
    </row>
    <row r="15" spans="1:16" s="8" customFormat="1" ht="52.8" x14ac:dyDescent="0.25">
      <c r="A15" s="140" t="s">
        <v>1325</v>
      </c>
      <c r="B15" s="140" t="s">
        <v>988</v>
      </c>
      <c r="C15" s="34" t="s">
        <v>20</v>
      </c>
      <c r="D15" s="162" t="s">
        <v>974</v>
      </c>
      <c r="E15" s="35">
        <v>1</v>
      </c>
      <c r="F15" s="46" t="s">
        <v>975</v>
      </c>
      <c r="G15" s="75">
        <v>2010</v>
      </c>
      <c r="H15" s="73" t="s">
        <v>14</v>
      </c>
      <c r="I15" s="48">
        <v>565</v>
      </c>
      <c r="J15" s="48">
        <v>590</v>
      </c>
      <c r="K15" s="82">
        <v>1.2</v>
      </c>
      <c r="L15" s="82">
        <v>0.82</v>
      </c>
      <c r="M15" s="82">
        <v>0.8</v>
      </c>
      <c r="N15" s="36" t="s">
        <v>85</v>
      </c>
      <c r="O15" s="7"/>
      <c r="P15" s="7"/>
    </row>
    <row r="16" spans="1:16" s="8" customFormat="1" ht="118.8" x14ac:dyDescent="0.25">
      <c r="A16" s="140" t="s">
        <v>1325</v>
      </c>
      <c r="B16" s="140" t="s">
        <v>988</v>
      </c>
      <c r="C16" s="34" t="s">
        <v>20</v>
      </c>
      <c r="D16" s="162" t="s">
        <v>976</v>
      </c>
      <c r="E16" s="35">
        <v>1</v>
      </c>
      <c r="F16" s="46" t="s">
        <v>977</v>
      </c>
      <c r="G16" s="75">
        <v>67</v>
      </c>
      <c r="H16" s="73" t="s">
        <v>14</v>
      </c>
      <c r="I16" s="48">
        <v>450</v>
      </c>
      <c r="J16" s="48">
        <v>470</v>
      </c>
      <c r="K16" s="82">
        <v>1.1599999999999999</v>
      </c>
      <c r="L16" s="82">
        <v>0.76</v>
      </c>
      <c r="M16" s="82">
        <v>0.76</v>
      </c>
      <c r="N16" s="36" t="s">
        <v>85</v>
      </c>
      <c r="O16" s="7"/>
      <c r="P16" s="7"/>
    </row>
    <row r="17" spans="1:16" s="8" customFormat="1" ht="39.6" x14ac:dyDescent="0.25">
      <c r="A17" s="140" t="s">
        <v>1324</v>
      </c>
      <c r="B17" s="140" t="s">
        <v>988</v>
      </c>
      <c r="C17" s="34" t="s">
        <v>18</v>
      </c>
      <c r="D17" s="35" t="s">
        <v>978</v>
      </c>
      <c r="E17" s="35">
        <v>1</v>
      </c>
      <c r="F17" s="46" t="s">
        <v>979</v>
      </c>
      <c r="G17" s="75">
        <v>22</v>
      </c>
      <c r="H17" s="73" t="s">
        <v>14</v>
      </c>
      <c r="I17" s="48">
        <v>600</v>
      </c>
      <c r="J17" s="48">
        <v>625</v>
      </c>
      <c r="K17" s="82">
        <v>2.7</v>
      </c>
      <c r="L17" s="82">
        <v>1</v>
      </c>
      <c r="M17" s="82">
        <v>0.4</v>
      </c>
      <c r="N17" s="36" t="s">
        <v>85</v>
      </c>
      <c r="O17" s="7"/>
      <c r="P17" s="7"/>
    </row>
    <row r="18" spans="1:16" s="8" customFormat="1" ht="79.2" x14ac:dyDescent="0.25">
      <c r="A18" s="140" t="s">
        <v>1324</v>
      </c>
      <c r="B18" s="140" t="s">
        <v>988</v>
      </c>
      <c r="C18" s="34" t="s">
        <v>21</v>
      </c>
      <c r="D18" s="35" t="s">
        <v>980</v>
      </c>
      <c r="E18" s="35">
        <v>1</v>
      </c>
      <c r="F18" s="46" t="s">
        <v>981</v>
      </c>
      <c r="G18" s="75">
        <v>5</v>
      </c>
      <c r="H18" s="73" t="s">
        <v>14</v>
      </c>
      <c r="I18" s="48">
        <v>3560</v>
      </c>
      <c r="J18" s="48">
        <v>3560</v>
      </c>
      <c r="K18" s="82">
        <v>3</v>
      </c>
      <c r="L18" s="82">
        <v>1</v>
      </c>
      <c r="M18" s="82">
        <v>1.3</v>
      </c>
      <c r="N18" s="36" t="s">
        <v>85</v>
      </c>
      <c r="O18" s="7"/>
      <c r="P18" s="7"/>
    </row>
    <row r="19" spans="1:16" s="8" customFormat="1" ht="39.6" x14ac:dyDescent="0.25">
      <c r="A19" s="140" t="s">
        <v>1326</v>
      </c>
      <c r="B19" s="140" t="s">
        <v>988</v>
      </c>
      <c r="C19" s="34" t="s">
        <v>18</v>
      </c>
      <c r="D19" s="35" t="s">
        <v>982</v>
      </c>
      <c r="E19" s="35">
        <v>1</v>
      </c>
      <c r="F19" s="46" t="s">
        <v>983</v>
      </c>
      <c r="G19" s="75">
        <v>16</v>
      </c>
      <c r="H19" s="129" t="s">
        <v>14</v>
      </c>
      <c r="I19" s="48">
        <v>230</v>
      </c>
      <c r="J19" s="48">
        <v>245</v>
      </c>
      <c r="K19" s="82">
        <v>1.1000000000000001</v>
      </c>
      <c r="L19" s="82">
        <v>0.8</v>
      </c>
      <c r="M19" s="82">
        <v>0.52</v>
      </c>
      <c r="N19" s="36" t="s">
        <v>85</v>
      </c>
    </row>
    <row r="20" spans="1:16" s="8" customFormat="1" ht="20.399999999999999" x14ac:dyDescent="0.25">
      <c r="A20" s="140" t="s">
        <v>1324</v>
      </c>
      <c r="B20" s="140" t="s">
        <v>988</v>
      </c>
      <c r="C20" s="34" t="s">
        <v>21</v>
      </c>
      <c r="D20" s="35" t="s">
        <v>982</v>
      </c>
      <c r="E20" s="35">
        <v>1</v>
      </c>
      <c r="F20" s="46" t="s">
        <v>984</v>
      </c>
      <c r="G20" s="128">
        <v>1</v>
      </c>
      <c r="H20" s="73" t="s">
        <v>14</v>
      </c>
      <c r="I20" s="48">
        <v>45</v>
      </c>
      <c r="J20" s="48">
        <v>45</v>
      </c>
      <c r="K20" s="82">
        <v>1</v>
      </c>
      <c r="L20" s="82">
        <v>1</v>
      </c>
      <c r="M20" s="82">
        <v>0.5</v>
      </c>
      <c r="N20" s="36" t="s">
        <v>85</v>
      </c>
    </row>
    <row r="21" spans="1:16" s="8" customFormat="1" ht="118.8" x14ac:dyDescent="0.25">
      <c r="A21" s="140" t="s">
        <v>1325</v>
      </c>
      <c r="B21" s="140" t="s">
        <v>988</v>
      </c>
      <c r="C21" s="34" t="s">
        <v>20</v>
      </c>
      <c r="D21" s="35" t="s">
        <v>644</v>
      </c>
      <c r="E21" s="35">
        <v>1</v>
      </c>
      <c r="F21" s="46" t="s">
        <v>985</v>
      </c>
      <c r="G21" s="75">
        <v>43</v>
      </c>
      <c r="H21" s="73" t="s">
        <v>14</v>
      </c>
      <c r="I21" s="48">
        <v>860</v>
      </c>
      <c r="J21" s="48">
        <v>910</v>
      </c>
      <c r="K21" s="82">
        <v>1.55</v>
      </c>
      <c r="L21" s="82">
        <v>1.35</v>
      </c>
      <c r="M21" s="82">
        <v>0.7</v>
      </c>
      <c r="N21" s="36" t="s">
        <v>85</v>
      </c>
    </row>
    <row r="22" spans="1:16" s="8" customFormat="1" ht="30.6" x14ac:dyDescent="0.25">
      <c r="A22" s="111" t="s">
        <v>1327</v>
      </c>
      <c r="B22" s="111" t="s">
        <v>988</v>
      </c>
      <c r="C22" s="30" t="s">
        <v>21</v>
      </c>
      <c r="D22" s="29" t="s">
        <v>644</v>
      </c>
      <c r="E22" s="29">
        <v>1</v>
      </c>
      <c r="F22" s="143" t="s">
        <v>986</v>
      </c>
      <c r="G22" s="155">
        <v>1</v>
      </c>
      <c r="H22" s="157" t="s">
        <v>14</v>
      </c>
      <c r="I22" s="64">
        <v>30000</v>
      </c>
      <c r="J22" s="64">
        <v>30000</v>
      </c>
      <c r="K22" s="86">
        <v>10.33</v>
      </c>
      <c r="L22" s="86">
        <v>3.95</v>
      </c>
      <c r="M22" s="86">
        <v>4.1500000000000004</v>
      </c>
      <c r="N22" s="89" t="s">
        <v>853</v>
      </c>
    </row>
    <row r="23" spans="1:16" s="8" customFormat="1" ht="20.399999999999999" x14ac:dyDescent="0.25">
      <c r="A23" s="140" t="s">
        <v>1324</v>
      </c>
      <c r="B23" s="140" t="s">
        <v>988</v>
      </c>
      <c r="C23" s="34" t="s">
        <v>21</v>
      </c>
      <c r="D23" s="35" t="s">
        <v>644</v>
      </c>
      <c r="E23" s="35">
        <v>1</v>
      </c>
      <c r="F23" s="123" t="s">
        <v>987</v>
      </c>
      <c r="G23" s="75">
        <v>1</v>
      </c>
      <c r="H23" s="73" t="s">
        <v>14</v>
      </c>
      <c r="I23" s="51">
        <v>440</v>
      </c>
      <c r="J23" s="51">
        <v>440</v>
      </c>
      <c r="K23" s="82">
        <v>3.65</v>
      </c>
      <c r="L23" s="82">
        <v>0.32</v>
      </c>
      <c r="M23" s="82">
        <v>0.62</v>
      </c>
      <c r="N23" s="38" t="s">
        <v>85</v>
      </c>
    </row>
    <row r="24" spans="1:16" s="8" customFormat="1" ht="30.6" x14ac:dyDescent="0.25">
      <c r="A24" s="140" t="s">
        <v>1327</v>
      </c>
      <c r="B24" s="140" t="s">
        <v>1718</v>
      </c>
      <c r="C24" s="34" t="s">
        <v>1261</v>
      </c>
      <c r="D24" s="141" t="s">
        <v>644</v>
      </c>
      <c r="E24" s="35">
        <v>1</v>
      </c>
      <c r="F24" s="46" t="s">
        <v>1719</v>
      </c>
      <c r="G24" s="129">
        <v>1</v>
      </c>
      <c r="H24" s="76" t="s">
        <v>1593</v>
      </c>
      <c r="I24" s="51">
        <v>32620</v>
      </c>
      <c r="J24" s="51">
        <v>32620</v>
      </c>
      <c r="K24" s="82">
        <v>10.33</v>
      </c>
      <c r="L24" s="82">
        <v>3.95</v>
      </c>
      <c r="M24" s="82">
        <v>4.07</v>
      </c>
      <c r="N24" s="38" t="s">
        <v>1717</v>
      </c>
    </row>
    <row r="25" spans="1:16" s="8" customFormat="1" ht="26.4" x14ac:dyDescent="0.25">
      <c r="A25" s="140" t="s">
        <v>1324</v>
      </c>
      <c r="B25" s="140" t="s">
        <v>1718</v>
      </c>
      <c r="C25" s="34" t="s">
        <v>97</v>
      </c>
      <c r="D25" s="141" t="s">
        <v>644</v>
      </c>
      <c r="E25" s="35">
        <v>1</v>
      </c>
      <c r="F25" s="46" t="s">
        <v>1716</v>
      </c>
      <c r="G25" s="129">
        <v>1</v>
      </c>
      <c r="H25" s="76" t="s">
        <v>1593</v>
      </c>
      <c r="I25" s="51">
        <v>440</v>
      </c>
      <c r="J25" s="51">
        <v>440</v>
      </c>
      <c r="K25" s="82">
        <v>3.65</v>
      </c>
      <c r="L25" s="82">
        <v>0.32</v>
      </c>
      <c r="M25" s="82">
        <v>0.62</v>
      </c>
      <c r="N25" s="38" t="s">
        <v>85</v>
      </c>
    </row>
    <row r="26" spans="1:16" s="8" customFormat="1" ht="13.8" x14ac:dyDescent="0.25">
      <c r="A26" s="111"/>
      <c r="B26" s="111"/>
      <c r="C26" s="30"/>
      <c r="D26" s="29"/>
      <c r="E26" s="29"/>
      <c r="F26" s="143"/>
      <c r="G26" s="155"/>
      <c r="H26" s="157"/>
      <c r="I26" s="59"/>
      <c r="J26" s="59"/>
      <c r="K26" s="178"/>
      <c r="L26" s="178"/>
      <c r="M26" s="178"/>
      <c r="N26" s="89"/>
    </row>
    <row r="27" spans="1:16" s="8" customFormat="1" ht="13.8" x14ac:dyDescent="0.25">
      <c r="A27" s="111"/>
      <c r="B27" s="111"/>
      <c r="C27" s="30"/>
      <c r="D27" s="29"/>
      <c r="E27" s="29"/>
      <c r="F27" s="58"/>
      <c r="G27" s="70"/>
      <c r="H27" s="71"/>
      <c r="I27" s="59"/>
      <c r="J27" s="59"/>
      <c r="K27" s="86"/>
      <c r="L27" s="86"/>
      <c r="M27" s="86"/>
      <c r="N27" s="89"/>
    </row>
    <row r="28" spans="1:16" s="8" customFormat="1" ht="13.8" x14ac:dyDescent="0.25">
      <c r="A28" s="111"/>
      <c r="B28" s="111"/>
      <c r="C28" s="30"/>
      <c r="D28" s="29"/>
      <c r="E28" s="29"/>
      <c r="F28" s="58"/>
      <c r="G28" s="70"/>
      <c r="H28" s="71"/>
      <c r="I28" s="59"/>
      <c r="J28" s="59"/>
      <c r="K28" s="86"/>
      <c r="L28" s="86"/>
      <c r="M28" s="86"/>
      <c r="N28" s="89"/>
    </row>
    <row r="29" spans="1:16" s="8" customFormat="1" ht="13.8" x14ac:dyDescent="0.25">
      <c r="A29" s="111"/>
      <c r="B29" s="111"/>
      <c r="C29" s="30"/>
      <c r="D29" s="29"/>
      <c r="E29" s="29"/>
      <c r="F29" s="58"/>
      <c r="G29" s="70"/>
      <c r="H29" s="71"/>
      <c r="I29" s="59"/>
      <c r="J29" s="59"/>
      <c r="K29" s="86"/>
      <c r="L29" s="86"/>
      <c r="M29" s="86"/>
      <c r="N29" s="89"/>
    </row>
    <row r="30" spans="1:16" s="8" customFormat="1" ht="13.8" x14ac:dyDescent="0.25">
      <c r="A30" s="111"/>
      <c r="B30" s="111"/>
      <c r="C30" s="30"/>
      <c r="D30" s="29"/>
      <c r="E30" s="29"/>
      <c r="F30" s="58"/>
      <c r="G30" s="70"/>
      <c r="H30" s="71"/>
      <c r="I30" s="59"/>
      <c r="J30" s="59"/>
      <c r="K30" s="86"/>
      <c r="L30" s="86"/>
      <c r="M30" s="86"/>
      <c r="N30" s="89"/>
    </row>
    <row r="31" spans="1:16" s="8" customFormat="1" ht="13.8" x14ac:dyDescent="0.25">
      <c r="A31" s="111"/>
      <c r="B31" s="111"/>
      <c r="C31" s="30"/>
      <c r="D31" s="29"/>
      <c r="E31" s="29"/>
      <c r="F31" s="58"/>
      <c r="G31" s="70"/>
      <c r="H31" s="71"/>
      <c r="I31" s="59"/>
      <c r="J31" s="59"/>
      <c r="K31" s="86"/>
      <c r="L31" s="86"/>
      <c r="M31" s="86"/>
      <c r="N31" s="89"/>
    </row>
    <row r="32" spans="1:16" s="8" customFormat="1" ht="13.8" x14ac:dyDescent="0.25">
      <c r="A32" s="111"/>
      <c r="B32" s="111"/>
      <c r="C32" s="30"/>
      <c r="D32" s="29"/>
      <c r="E32" s="29"/>
      <c r="F32" s="58"/>
      <c r="G32" s="70"/>
      <c r="H32" s="71"/>
      <c r="I32" s="59"/>
      <c r="J32" s="59"/>
      <c r="K32" s="86"/>
      <c r="L32" s="86"/>
      <c r="M32" s="86"/>
      <c r="N32" s="89"/>
    </row>
    <row r="33" spans="1:14" s="8" customFormat="1" ht="13.8" x14ac:dyDescent="0.25">
      <c r="A33" s="111"/>
      <c r="B33" s="111"/>
      <c r="C33" s="30"/>
      <c r="D33" s="29"/>
      <c r="E33" s="29"/>
      <c r="F33" s="58"/>
      <c r="G33" s="70"/>
      <c r="H33" s="71"/>
      <c r="I33" s="59"/>
      <c r="J33" s="59"/>
      <c r="K33" s="86"/>
      <c r="L33" s="86"/>
      <c r="M33" s="86"/>
      <c r="N33" s="89"/>
    </row>
    <row r="34" spans="1:14" ht="13.8" x14ac:dyDescent="0.25">
      <c r="A34" s="5"/>
      <c r="B34" s="22"/>
      <c r="C34" s="22"/>
      <c r="D34" s="22"/>
      <c r="E34" s="22"/>
      <c r="F34" s="24"/>
      <c r="G34" s="24"/>
      <c r="H34" s="24"/>
      <c r="I34" s="25"/>
      <c r="J34" s="26"/>
      <c r="K34" s="26"/>
      <c r="L34" s="26"/>
      <c r="M34" s="5"/>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384E-10E9-4E52-BACA-88AEA54030A9}">
  <dimension ref="A1:P124"/>
  <sheetViews>
    <sheetView zoomScaleNormal="100" workbookViewId="0">
      <selection sqref="A1: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26.4" x14ac:dyDescent="0.25">
      <c r="A2" s="140" t="s">
        <v>1328</v>
      </c>
      <c r="B2" s="140" t="s">
        <v>387</v>
      </c>
      <c r="C2" s="34" t="s">
        <v>21</v>
      </c>
      <c r="D2" s="35" t="s">
        <v>42</v>
      </c>
      <c r="E2" s="35">
        <v>1</v>
      </c>
      <c r="F2" s="46" t="s">
        <v>909</v>
      </c>
      <c r="G2" s="128">
        <v>1</v>
      </c>
      <c r="H2" s="129" t="s">
        <v>14</v>
      </c>
      <c r="I2" s="48">
        <v>29000</v>
      </c>
      <c r="J2" s="48">
        <v>29000</v>
      </c>
      <c r="K2" s="82">
        <v>18.7</v>
      </c>
      <c r="L2" s="82">
        <v>3.36</v>
      </c>
      <c r="M2" s="82">
        <v>4.74</v>
      </c>
      <c r="N2" s="36" t="s">
        <v>452</v>
      </c>
      <c r="O2" s="7"/>
      <c r="P2" s="7"/>
    </row>
    <row r="3" spans="1:16" s="8" customFormat="1" ht="26.4" x14ac:dyDescent="0.25">
      <c r="A3" s="140" t="s">
        <v>1328</v>
      </c>
      <c r="B3" s="140" t="s">
        <v>1043</v>
      </c>
      <c r="C3" s="34" t="s">
        <v>21</v>
      </c>
      <c r="D3" s="35" t="s">
        <v>616</v>
      </c>
      <c r="E3" s="35">
        <v>1</v>
      </c>
      <c r="F3" s="46" t="s">
        <v>909</v>
      </c>
      <c r="G3" s="128">
        <v>1</v>
      </c>
      <c r="H3" s="129" t="s">
        <v>14</v>
      </c>
      <c r="I3" s="48">
        <v>27960</v>
      </c>
      <c r="J3" s="48">
        <v>27960</v>
      </c>
      <c r="K3" s="82">
        <v>18.7</v>
      </c>
      <c r="L3" s="82">
        <v>3.36</v>
      </c>
      <c r="M3" s="82">
        <v>4.74</v>
      </c>
      <c r="N3" s="36" t="s">
        <v>452</v>
      </c>
      <c r="O3" s="7"/>
      <c r="P3" s="7"/>
    </row>
    <row r="4" spans="1:16" s="8" customFormat="1" ht="20.399999999999999" x14ac:dyDescent="0.25">
      <c r="A4" s="140" t="s">
        <v>1329</v>
      </c>
      <c r="B4" s="140" t="s">
        <v>387</v>
      </c>
      <c r="C4" s="34" t="s">
        <v>18</v>
      </c>
      <c r="D4" s="35" t="s">
        <v>42</v>
      </c>
      <c r="E4" s="35">
        <v>2</v>
      </c>
      <c r="F4" s="46" t="s">
        <v>904</v>
      </c>
      <c r="G4" s="128">
        <v>19</v>
      </c>
      <c r="H4" s="129" t="s">
        <v>14</v>
      </c>
      <c r="I4" s="48">
        <v>2500</v>
      </c>
      <c r="J4" s="48">
        <v>2560</v>
      </c>
      <c r="K4" s="82"/>
      <c r="L4" s="82"/>
      <c r="M4" s="82"/>
      <c r="N4" s="36" t="s">
        <v>733</v>
      </c>
      <c r="O4" s="7"/>
      <c r="P4" s="7"/>
    </row>
    <row r="5" spans="1:16" s="8" customFormat="1" ht="26.4" x14ac:dyDescent="0.25">
      <c r="A5" s="140" t="s">
        <v>1330</v>
      </c>
      <c r="B5" s="140" t="s">
        <v>387</v>
      </c>
      <c r="C5" s="35" t="s">
        <v>18</v>
      </c>
      <c r="D5" s="35" t="s">
        <v>492</v>
      </c>
      <c r="E5" s="35">
        <v>1</v>
      </c>
      <c r="F5" s="46" t="s">
        <v>493</v>
      </c>
      <c r="G5" s="128">
        <v>1</v>
      </c>
      <c r="H5" s="129" t="s">
        <v>14</v>
      </c>
      <c r="I5" s="51">
        <v>800</v>
      </c>
      <c r="J5" s="48">
        <v>820</v>
      </c>
      <c r="K5" s="82">
        <v>1.3</v>
      </c>
      <c r="L5" s="82">
        <v>1</v>
      </c>
      <c r="M5" s="82">
        <v>0.8</v>
      </c>
      <c r="N5" s="36" t="s">
        <v>85</v>
      </c>
      <c r="O5" s="7"/>
      <c r="P5" s="7"/>
    </row>
    <row r="6" spans="1:16" s="8" customFormat="1" ht="20.399999999999999" x14ac:dyDescent="0.25">
      <c r="A6" s="140" t="s">
        <v>1329</v>
      </c>
      <c r="B6" s="140" t="s">
        <v>387</v>
      </c>
      <c r="C6" s="34" t="s">
        <v>21</v>
      </c>
      <c r="D6" s="35" t="s">
        <v>44</v>
      </c>
      <c r="E6" s="35">
        <v>1</v>
      </c>
      <c r="F6" s="46" t="s">
        <v>665</v>
      </c>
      <c r="G6" s="128">
        <v>1</v>
      </c>
      <c r="H6" s="129" t="s">
        <v>14</v>
      </c>
      <c r="I6" s="48">
        <v>580</v>
      </c>
      <c r="J6" s="48">
        <v>580</v>
      </c>
      <c r="K6" s="82">
        <v>2.33</v>
      </c>
      <c r="L6" s="82">
        <v>2.6</v>
      </c>
      <c r="M6" s="82">
        <v>2.38</v>
      </c>
      <c r="N6" s="36" t="s">
        <v>85</v>
      </c>
      <c r="O6" s="7"/>
      <c r="P6" s="7"/>
    </row>
    <row r="7" spans="1:16" s="8" customFormat="1" ht="20.399999999999999" x14ac:dyDescent="0.25">
      <c r="A7" s="140" t="s">
        <v>1329</v>
      </c>
      <c r="B7" s="140" t="s">
        <v>387</v>
      </c>
      <c r="C7" s="34" t="s">
        <v>21</v>
      </c>
      <c r="D7" s="35" t="s">
        <v>44</v>
      </c>
      <c r="E7" s="35">
        <v>1</v>
      </c>
      <c r="F7" s="46" t="s">
        <v>666</v>
      </c>
      <c r="G7" s="128">
        <v>1</v>
      </c>
      <c r="H7" s="129" t="s">
        <v>14</v>
      </c>
      <c r="I7" s="48">
        <v>860</v>
      </c>
      <c r="J7" s="48">
        <v>860</v>
      </c>
      <c r="K7" s="82">
        <v>3.1</v>
      </c>
      <c r="L7" s="82">
        <v>2.6</v>
      </c>
      <c r="M7" s="82">
        <v>2.0499999999999998</v>
      </c>
      <c r="N7" s="36" t="s">
        <v>85</v>
      </c>
      <c r="O7" s="7"/>
      <c r="P7" s="7"/>
    </row>
    <row r="8" spans="1:16" s="8" customFormat="1" ht="20.399999999999999" x14ac:dyDescent="0.25">
      <c r="A8" s="140" t="s">
        <v>1329</v>
      </c>
      <c r="B8" s="140" t="s">
        <v>387</v>
      </c>
      <c r="C8" s="34" t="s">
        <v>21</v>
      </c>
      <c r="D8" s="35" t="s">
        <v>44</v>
      </c>
      <c r="E8" s="35">
        <v>1</v>
      </c>
      <c r="F8" s="46" t="s">
        <v>667</v>
      </c>
      <c r="G8" s="128">
        <v>1</v>
      </c>
      <c r="H8" s="129" t="s">
        <v>14</v>
      </c>
      <c r="I8" s="48">
        <v>980</v>
      </c>
      <c r="J8" s="48">
        <v>980</v>
      </c>
      <c r="K8" s="82">
        <v>3.9</v>
      </c>
      <c r="L8" s="82">
        <v>2.6</v>
      </c>
      <c r="M8" s="82">
        <v>2.0499999999999998</v>
      </c>
      <c r="N8" s="36" t="s">
        <v>85</v>
      </c>
      <c r="O8" s="7"/>
      <c r="P8" s="7"/>
    </row>
    <row r="9" spans="1:16" s="8" customFormat="1" ht="20.399999999999999" x14ac:dyDescent="0.25">
      <c r="A9" s="140" t="s">
        <v>1329</v>
      </c>
      <c r="B9" s="140" t="s">
        <v>387</v>
      </c>
      <c r="C9" s="34" t="s">
        <v>21</v>
      </c>
      <c r="D9" s="35" t="s">
        <v>44</v>
      </c>
      <c r="E9" s="35">
        <v>1</v>
      </c>
      <c r="F9" s="46" t="s">
        <v>668</v>
      </c>
      <c r="G9" s="128">
        <v>1</v>
      </c>
      <c r="H9" s="129" t="s">
        <v>14</v>
      </c>
      <c r="I9" s="48">
        <v>960</v>
      </c>
      <c r="J9" s="48">
        <v>960</v>
      </c>
      <c r="K9" s="82">
        <v>3.1</v>
      </c>
      <c r="L9" s="82">
        <v>2.6</v>
      </c>
      <c r="M9" s="82">
        <v>2.0099999999999998</v>
      </c>
      <c r="N9" s="36" t="s">
        <v>85</v>
      </c>
      <c r="O9" s="7"/>
      <c r="P9" s="7"/>
    </row>
    <row r="10" spans="1:16" s="8" customFormat="1" ht="20.399999999999999" x14ac:dyDescent="0.25">
      <c r="A10" s="140" t="s">
        <v>1329</v>
      </c>
      <c r="B10" s="140" t="s">
        <v>387</v>
      </c>
      <c r="C10" s="34" t="s">
        <v>21</v>
      </c>
      <c r="D10" s="35" t="s">
        <v>44</v>
      </c>
      <c r="E10" s="35">
        <v>1</v>
      </c>
      <c r="F10" s="46" t="s">
        <v>669</v>
      </c>
      <c r="G10" s="128">
        <v>1</v>
      </c>
      <c r="H10" s="129" t="s">
        <v>14</v>
      </c>
      <c r="I10" s="48">
        <v>1085</v>
      </c>
      <c r="J10" s="48">
        <v>1085</v>
      </c>
      <c r="K10" s="82">
        <v>2.77</v>
      </c>
      <c r="L10" s="82">
        <v>2.5</v>
      </c>
      <c r="M10" s="82">
        <v>2.02</v>
      </c>
      <c r="N10" s="36" t="s">
        <v>85</v>
      </c>
      <c r="O10" s="7"/>
      <c r="P10" s="7"/>
    </row>
    <row r="11" spans="1:16" s="8" customFormat="1" ht="26.4" x14ac:dyDescent="0.25">
      <c r="A11" s="140" t="s">
        <v>1329</v>
      </c>
      <c r="B11" s="140" t="s">
        <v>387</v>
      </c>
      <c r="C11" s="34" t="s">
        <v>21</v>
      </c>
      <c r="D11" s="35" t="s">
        <v>45</v>
      </c>
      <c r="E11" s="35">
        <v>44</v>
      </c>
      <c r="F11" s="46" t="s">
        <v>910</v>
      </c>
      <c r="G11" s="139">
        <v>44</v>
      </c>
      <c r="H11" s="73" t="s">
        <v>14</v>
      </c>
      <c r="I11" s="48">
        <v>9680</v>
      </c>
      <c r="J11" s="48">
        <v>9680</v>
      </c>
      <c r="K11" s="82">
        <v>13.45</v>
      </c>
      <c r="L11" s="82">
        <v>1.95</v>
      </c>
      <c r="M11" s="82">
        <v>2.4</v>
      </c>
      <c r="N11" s="38" t="s">
        <v>85</v>
      </c>
    </row>
    <row r="12" spans="1:16" s="10" customFormat="1" ht="26.4" x14ac:dyDescent="0.25">
      <c r="A12" s="140" t="s">
        <v>1329</v>
      </c>
      <c r="B12" s="140" t="s">
        <v>387</v>
      </c>
      <c r="C12" s="34" t="s">
        <v>21</v>
      </c>
      <c r="D12" s="35" t="s">
        <v>45</v>
      </c>
      <c r="E12" s="35">
        <v>11</v>
      </c>
      <c r="F12" s="46" t="s">
        <v>910</v>
      </c>
      <c r="G12" s="139">
        <v>11</v>
      </c>
      <c r="H12" s="73" t="s">
        <v>14</v>
      </c>
      <c r="I12" s="48">
        <v>2420</v>
      </c>
      <c r="J12" s="48">
        <v>2420</v>
      </c>
      <c r="K12" s="82">
        <v>3.7</v>
      </c>
      <c r="L12" s="82">
        <v>1.95</v>
      </c>
      <c r="M12" s="82">
        <v>2.4</v>
      </c>
      <c r="N12" s="38" t="s">
        <v>85</v>
      </c>
    </row>
    <row r="13" spans="1:16" s="8" customFormat="1" ht="20.399999999999999" x14ac:dyDescent="0.25">
      <c r="A13" s="140" t="s">
        <v>1328</v>
      </c>
      <c r="B13" s="140" t="s">
        <v>387</v>
      </c>
      <c r="C13" s="34" t="s">
        <v>21</v>
      </c>
      <c r="D13" s="35" t="s">
        <v>50</v>
      </c>
      <c r="E13" s="35">
        <v>1</v>
      </c>
      <c r="F13" s="46" t="s">
        <v>905</v>
      </c>
      <c r="G13" s="128">
        <v>1</v>
      </c>
      <c r="H13" s="129" t="s">
        <v>14</v>
      </c>
      <c r="I13" s="48">
        <v>2080</v>
      </c>
      <c r="J13" s="48">
        <v>2080</v>
      </c>
      <c r="K13" s="82">
        <v>3.15</v>
      </c>
      <c r="L13" s="82">
        <v>1.95</v>
      </c>
      <c r="M13" s="82">
        <v>3</v>
      </c>
      <c r="N13" s="36" t="s">
        <v>85</v>
      </c>
      <c r="O13" s="7"/>
      <c r="P13" s="7"/>
    </row>
    <row r="14" spans="1:16" s="8" customFormat="1" ht="20.399999999999999" x14ac:dyDescent="0.25">
      <c r="A14" s="140" t="s">
        <v>1330</v>
      </c>
      <c r="B14" s="140" t="s">
        <v>387</v>
      </c>
      <c r="C14" s="35" t="s">
        <v>18</v>
      </c>
      <c r="D14" s="35" t="s">
        <v>46</v>
      </c>
      <c r="E14" s="35">
        <v>1</v>
      </c>
      <c r="F14" s="46" t="s">
        <v>47</v>
      </c>
      <c r="G14" s="128">
        <v>1</v>
      </c>
      <c r="H14" s="129" t="s">
        <v>14</v>
      </c>
      <c r="I14" s="48">
        <v>700</v>
      </c>
      <c r="J14" s="48">
        <v>720</v>
      </c>
      <c r="K14" s="82">
        <v>2.17</v>
      </c>
      <c r="L14" s="82">
        <v>1.6</v>
      </c>
      <c r="M14" s="82">
        <v>0.8</v>
      </c>
      <c r="N14" s="36" t="s">
        <v>85</v>
      </c>
      <c r="O14" s="7"/>
      <c r="P14" s="7"/>
    </row>
    <row r="15" spans="1:16" s="8" customFormat="1" ht="20.399999999999999" x14ac:dyDescent="0.25">
      <c r="A15" s="140" t="s">
        <v>1330</v>
      </c>
      <c r="B15" s="140" t="s">
        <v>387</v>
      </c>
      <c r="C15" s="35" t="s">
        <v>18</v>
      </c>
      <c r="D15" s="35" t="s">
        <v>46</v>
      </c>
      <c r="E15" s="35">
        <v>1</v>
      </c>
      <c r="F15" s="46" t="s">
        <v>495</v>
      </c>
      <c r="G15" s="128">
        <v>1</v>
      </c>
      <c r="H15" s="129" t="s">
        <v>14</v>
      </c>
      <c r="I15" s="48">
        <v>475</v>
      </c>
      <c r="J15" s="48">
        <v>495</v>
      </c>
      <c r="K15" s="82">
        <v>2.46</v>
      </c>
      <c r="L15" s="82">
        <v>1.4</v>
      </c>
      <c r="M15" s="82">
        <v>0.6</v>
      </c>
      <c r="N15" s="36" t="s">
        <v>85</v>
      </c>
      <c r="O15" s="7"/>
      <c r="P15" s="7"/>
    </row>
    <row r="16" spans="1:16" s="8" customFormat="1" ht="20.399999999999999" x14ac:dyDescent="0.25">
      <c r="A16" s="140" t="s">
        <v>1330</v>
      </c>
      <c r="B16" s="140" t="s">
        <v>387</v>
      </c>
      <c r="C16" s="35" t="s">
        <v>18</v>
      </c>
      <c r="D16" s="35" t="s">
        <v>46</v>
      </c>
      <c r="E16" s="35">
        <v>1</v>
      </c>
      <c r="F16" s="46" t="s">
        <v>49</v>
      </c>
      <c r="G16" s="128">
        <v>1</v>
      </c>
      <c r="H16" s="129" t="s">
        <v>14</v>
      </c>
      <c r="I16" s="48">
        <v>700</v>
      </c>
      <c r="J16" s="48">
        <v>720</v>
      </c>
      <c r="K16" s="82">
        <v>2.4500000000000002</v>
      </c>
      <c r="L16" s="82">
        <v>1.9</v>
      </c>
      <c r="M16" s="82">
        <v>0.65</v>
      </c>
      <c r="N16" s="36" t="s">
        <v>85</v>
      </c>
      <c r="O16" s="7"/>
      <c r="P16" s="7"/>
    </row>
    <row r="17" spans="1:16" s="8" customFormat="1" ht="20.399999999999999" x14ac:dyDescent="0.25">
      <c r="A17" s="140" t="s">
        <v>1330</v>
      </c>
      <c r="B17" s="140" t="s">
        <v>387</v>
      </c>
      <c r="C17" s="35" t="s">
        <v>18</v>
      </c>
      <c r="D17" s="35" t="s">
        <v>46</v>
      </c>
      <c r="E17" s="35">
        <v>1</v>
      </c>
      <c r="F17" s="46" t="s">
        <v>496</v>
      </c>
      <c r="G17" s="128">
        <v>1</v>
      </c>
      <c r="H17" s="129" t="s">
        <v>14</v>
      </c>
      <c r="I17" s="48">
        <v>700</v>
      </c>
      <c r="J17" s="48">
        <v>720</v>
      </c>
      <c r="K17" s="82">
        <v>2.2000000000000002</v>
      </c>
      <c r="L17" s="82">
        <v>1.5</v>
      </c>
      <c r="M17" s="82">
        <v>0.75</v>
      </c>
      <c r="N17" s="36" t="s">
        <v>85</v>
      </c>
      <c r="O17" s="7"/>
      <c r="P17" s="7"/>
    </row>
    <row r="18" spans="1:16" s="8" customFormat="1" ht="20.399999999999999" x14ac:dyDescent="0.25">
      <c r="A18" s="140" t="s">
        <v>1329</v>
      </c>
      <c r="B18" s="140"/>
      <c r="C18" s="35" t="s">
        <v>21</v>
      </c>
      <c r="D18" s="35"/>
      <c r="E18" s="35">
        <v>1</v>
      </c>
      <c r="F18" s="46" t="s">
        <v>497</v>
      </c>
      <c r="G18" s="130">
        <v>1</v>
      </c>
      <c r="H18" s="132" t="s">
        <v>14</v>
      </c>
      <c r="I18" s="48">
        <v>205</v>
      </c>
      <c r="J18" s="48">
        <v>205</v>
      </c>
      <c r="K18" s="82">
        <v>3.25</v>
      </c>
      <c r="L18" s="127">
        <v>0.3</v>
      </c>
      <c r="M18" s="127">
        <v>0.46</v>
      </c>
      <c r="N18" s="36" t="s">
        <v>85</v>
      </c>
      <c r="O18" s="7"/>
      <c r="P18" s="7"/>
    </row>
    <row r="19" spans="1:16" s="8" customFormat="1" ht="20.399999999999999" x14ac:dyDescent="0.25">
      <c r="A19" s="140" t="s">
        <v>1328</v>
      </c>
      <c r="B19" s="140" t="s">
        <v>387</v>
      </c>
      <c r="C19" s="34" t="s">
        <v>21</v>
      </c>
      <c r="D19" s="35" t="s">
        <v>52</v>
      </c>
      <c r="E19" s="35">
        <v>1</v>
      </c>
      <c r="F19" s="46" t="s">
        <v>431</v>
      </c>
      <c r="G19" s="130">
        <v>1</v>
      </c>
      <c r="H19" s="132" t="s">
        <v>14</v>
      </c>
      <c r="I19" s="52">
        <v>37850</v>
      </c>
      <c r="J19" s="52">
        <v>37850</v>
      </c>
      <c r="K19" s="82">
        <v>11.63</v>
      </c>
      <c r="L19" s="127">
        <v>4.33</v>
      </c>
      <c r="M19" s="127">
        <v>4.03</v>
      </c>
      <c r="N19" s="36" t="s">
        <v>452</v>
      </c>
      <c r="O19" s="7"/>
      <c r="P19" s="7"/>
    </row>
    <row r="20" spans="1:16" s="8" customFormat="1" ht="20.399999999999999" x14ac:dyDescent="0.25">
      <c r="A20" s="140" t="s">
        <v>1329</v>
      </c>
      <c r="B20" s="140" t="s">
        <v>387</v>
      </c>
      <c r="C20" s="34" t="s">
        <v>21</v>
      </c>
      <c r="D20" s="35" t="s">
        <v>53</v>
      </c>
      <c r="E20" s="35">
        <v>1</v>
      </c>
      <c r="F20" s="46" t="s">
        <v>442</v>
      </c>
      <c r="G20" s="128">
        <v>1</v>
      </c>
      <c r="H20" s="129" t="s">
        <v>14</v>
      </c>
      <c r="I20" s="48">
        <v>500</v>
      </c>
      <c r="J20" s="48">
        <v>500</v>
      </c>
      <c r="K20" s="82">
        <v>1.95</v>
      </c>
      <c r="L20" s="82">
        <v>0.6</v>
      </c>
      <c r="M20" s="82">
        <v>0.72</v>
      </c>
      <c r="N20" s="36" t="s">
        <v>85</v>
      </c>
      <c r="O20" s="7"/>
      <c r="P20" s="7"/>
    </row>
    <row r="21" spans="1:16" s="8" customFormat="1" ht="39.6" x14ac:dyDescent="0.25">
      <c r="A21" s="140" t="s">
        <v>1329</v>
      </c>
      <c r="B21" s="140" t="s">
        <v>387</v>
      </c>
      <c r="C21" s="34" t="s">
        <v>18</v>
      </c>
      <c r="D21" s="35"/>
      <c r="E21" s="35">
        <v>1</v>
      </c>
      <c r="F21" s="46" t="s">
        <v>505</v>
      </c>
      <c r="G21" s="128">
        <v>23</v>
      </c>
      <c r="H21" s="129" t="s">
        <v>14</v>
      </c>
      <c r="I21" s="48">
        <v>520</v>
      </c>
      <c r="J21" s="48">
        <v>540</v>
      </c>
      <c r="K21" s="82">
        <v>2.65</v>
      </c>
      <c r="L21" s="82">
        <v>1</v>
      </c>
      <c r="M21" s="82">
        <v>0.74</v>
      </c>
      <c r="N21" s="36" t="s">
        <v>85</v>
      </c>
      <c r="O21" s="7"/>
      <c r="P21" s="7"/>
    </row>
    <row r="22" spans="1:16" s="8" customFormat="1" ht="52.8" x14ac:dyDescent="0.25">
      <c r="A22" s="140" t="s">
        <v>1329</v>
      </c>
      <c r="B22" s="140" t="s">
        <v>387</v>
      </c>
      <c r="C22" s="34" t="s">
        <v>18</v>
      </c>
      <c r="D22" s="35"/>
      <c r="E22" s="35">
        <v>1</v>
      </c>
      <c r="F22" s="46" t="s">
        <v>506</v>
      </c>
      <c r="G22" s="128">
        <v>4</v>
      </c>
      <c r="H22" s="129" t="s">
        <v>14</v>
      </c>
      <c r="I22" s="48">
        <v>275</v>
      </c>
      <c r="J22" s="48">
        <v>295</v>
      </c>
      <c r="K22" s="82">
        <v>1.86</v>
      </c>
      <c r="L22" s="82">
        <v>1.2</v>
      </c>
      <c r="M22" s="82">
        <v>0.75</v>
      </c>
      <c r="N22" s="36" t="s">
        <v>85</v>
      </c>
      <c r="O22" s="7"/>
      <c r="P22" s="7"/>
    </row>
    <row r="23" spans="1:16" s="8" customFormat="1" ht="26.4" x14ac:dyDescent="0.25">
      <c r="A23" s="140" t="s">
        <v>1330</v>
      </c>
      <c r="B23" s="140" t="s">
        <v>387</v>
      </c>
      <c r="C23" s="34" t="s">
        <v>21</v>
      </c>
      <c r="D23" s="35" t="s">
        <v>343</v>
      </c>
      <c r="E23" s="35">
        <v>1</v>
      </c>
      <c r="F23" s="46" t="s">
        <v>447</v>
      </c>
      <c r="G23" s="128">
        <v>1</v>
      </c>
      <c r="H23" s="129" t="s">
        <v>14</v>
      </c>
      <c r="I23" s="48">
        <v>4635</v>
      </c>
      <c r="J23" s="48">
        <v>4635</v>
      </c>
      <c r="K23" s="82">
        <v>3.17</v>
      </c>
      <c r="L23" s="82">
        <v>1.1000000000000001</v>
      </c>
      <c r="M23" s="82">
        <v>1.35</v>
      </c>
      <c r="N23" s="36" t="s">
        <v>85</v>
      </c>
      <c r="O23" s="7"/>
      <c r="P23" s="7"/>
    </row>
    <row r="24" spans="1:16" s="8" customFormat="1" ht="20.399999999999999" x14ac:dyDescent="0.25">
      <c r="A24" s="140" t="s">
        <v>1330</v>
      </c>
      <c r="B24" s="140" t="s">
        <v>387</v>
      </c>
      <c r="C24" s="34" t="s">
        <v>18</v>
      </c>
      <c r="D24" s="35" t="s">
        <v>52</v>
      </c>
      <c r="E24" s="35">
        <v>1</v>
      </c>
      <c r="F24" s="46" t="s">
        <v>507</v>
      </c>
      <c r="G24" s="128">
        <v>1</v>
      </c>
      <c r="H24" s="129" t="s">
        <v>14</v>
      </c>
      <c r="I24" s="48">
        <v>620</v>
      </c>
      <c r="J24" s="48">
        <v>635</v>
      </c>
      <c r="K24" s="82">
        <v>1</v>
      </c>
      <c r="L24" s="82">
        <v>1</v>
      </c>
      <c r="M24" s="82">
        <v>0.6</v>
      </c>
      <c r="N24" s="36" t="s">
        <v>85</v>
      </c>
      <c r="O24" s="7"/>
      <c r="P24" s="7"/>
    </row>
    <row r="25" spans="1:16" s="8" customFormat="1" ht="20.399999999999999" x14ac:dyDescent="0.25">
      <c r="A25" s="140" t="s">
        <v>1329</v>
      </c>
      <c r="B25" s="140" t="s">
        <v>387</v>
      </c>
      <c r="C25" s="34" t="s">
        <v>21</v>
      </c>
      <c r="D25" s="35" t="s">
        <v>52</v>
      </c>
      <c r="E25" s="35">
        <v>1</v>
      </c>
      <c r="F25" s="46" t="s">
        <v>508</v>
      </c>
      <c r="G25" s="128">
        <v>1</v>
      </c>
      <c r="H25" s="129" t="s">
        <v>14</v>
      </c>
      <c r="I25" s="48">
        <v>55</v>
      </c>
      <c r="J25" s="48">
        <v>55</v>
      </c>
      <c r="K25" s="82">
        <v>0.82</v>
      </c>
      <c r="L25" s="82">
        <v>0.82</v>
      </c>
      <c r="M25" s="82">
        <v>1.07</v>
      </c>
      <c r="N25" s="36" t="s">
        <v>85</v>
      </c>
      <c r="O25" s="7"/>
      <c r="P25" s="7"/>
    </row>
    <row r="26" spans="1:16" s="8" customFormat="1" ht="20.399999999999999" x14ac:dyDescent="0.25">
      <c r="A26" s="140" t="s">
        <v>1330</v>
      </c>
      <c r="B26" s="140" t="s">
        <v>387</v>
      </c>
      <c r="C26" s="34" t="s">
        <v>509</v>
      </c>
      <c r="D26" s="35"/>
      <c r="E26" s="35">
        <v>1</v>
      </c>
      <c r="F26" s="46" t="s">
        <v>510</v>
      </c>
      <c r="G26" s="128">
        <v>3</v>
      </c>
      <c r="H26" s="129" t="s">
        <v>14</v>
      </c>
      <c r="I26" s="48">
        <v>345</v>
      </c>
      <c r="J26" s="48">
        <v>375</v>
      </c>
      <c r="K26" s="82">
        <v>1.2</v>
      </c>
      <c r="L26" s="82">
        <v>0.8</v>
      </c>
      <c r="M26" s="82">
        <v>0.86</v>
      </c>
      <c r="N26" s="36" t="s">
        <v>85</v>
      </c>
      <c r="O26" s="7"/>
      <c r="P26" s="7"/>
    </row>
    <row r="27" spans="1:16" s="8" customFormat="1" ht="20.399999999999999" x14ac:dyDescent="0.25">
      <c r="A27" s="140" t="s">
        <v>1329</v>
      </c>
      <c r="B27" s="140" t="s">
        <v>387</v>
      </c>
      <c r="C27" s="34" t="s">
        <v>18</v>
      </c>
      <c r="D27" s="35" t="s">
        <v>327</v>
      </c>
      <c r="E27" s="35">
        <v>1</v>
      </c>
      <c r="F27" s="46" t="s">
        <v>439</v>
      </c>
      <c r="G27" s="75">
        <v>7</v>
      </c>
      <c r="H27" s="73" t="s">
        <v>14</v>
      </c>
      <c r="I27" s="135">
        <v>335</v>
      </c>
      <c r="J27" s="135">
        <v>360</v>
      </c>
      <c r="K27" s="82">
        <v>1.82</v>
      </c>
      <c r="L27" s="82">
        <v>0.98</v>
      </c>
      <c r="M27" s="82">
        <v>0.5</v>
      </c>
      <c r="N27" s="36" t="s">
        <v>85</v>
      </c>
      <c r="O27" s="7"/>
      <c r="P27" s="7"/>
    </row>
    <row r="28" spans="1:16" s="8" customFormat="1" ht="30.6" x14ac:dyDescent="0.25">
      <c r="A28" s="140" t="s">
        <v>1331</v>
      </c>
      <c r="B28" s="140" t="s">
        <v>387</v>
      </c>
      <c r="C28" s="34" t="s">
        <v>21</v>
      </c>
      <c r="D28" s="35"/>
      <c r="E28" s="35">
        <v>2</v>
      </c>
      <c r="F28" s="123" t="s">
        <v>390</v>
      </c>
      <c r="G28" s="75">
        <v>2</v>
      </c>
      <c r="H28" s="73" t="s">
        <v>14</v>
      </c>
      <c r="I28" s="135">
        <v>560</v>
      </c>
      <c r="J28" s="135">
        <v>560</v>
      </c>
      <c r="K28" s="82"/>
      <c r="L28" s="82"/>
      <c r="M28" s="82"/>
      <c r="N28" s="36" t="s">
        <v>388</v>
      </c>
      <c r="O28" s="7"/>
      <c r="P28" s="7"/>
    </row>
    <row r="29" spans="1:16" s="8" customFormat="1" ht="30.6" x14ac:dyDescent="0.25">
      <c r="A29" s="140" t="s">
        <v>1331</v>
      </c>
      <c r="B29" s="140" t="s">
        <v>387</v>
      </c>
      <c r="C29" s="34" t="s">
        <v>21</v>
      </c>
      <c r="D29" s="35"/>
      <c r="E29" s="35">
        <v>2</v>
      </c>
      <c r="F29" s="123" t="s">
        <v>389</v>
      </c>
      <c r="G29" s="75">
        <v>2</v>
      </c>
      <c r="H29" s="73" t="s">
        <v>14</v>
      </c>
      <c r="I29" s="135">
        <v>440</v>
      </c>
      <c r="J29" s="135">
        <v>440</v>
      </c>
      <c r="K29" s="82"/>
      <c r="L29" s="82"/>
      <c r="M29" s="82"/>
      <c r="N29" s="36" t="s">
        <v>388</v>
      </c>
      <c r="O29" s="7"/>
      <c r="P29" s="7"/>
    </row>
    <row r="30" spans="1:16" s="8" customFormat="1" ht="13.8" x14ac:dyDescent="0.25">
      <c r="A30" s="111"/>
      <c r="B30" s="111"/>
      <c r="C30" s="30"/>
      <c r="D30" s="29"/>
      <c r="E30" s="29"/>
      <c r="F30" s="143"/>
      <c r="G30" s="137"/>
      <c r="H30" s="133"/>
      <c r="I30" s="136"/>
      <c r="J30" s="136"/>
      <c r="K30" s="86"/>
      <c r="L30" s="86"/>
      <c r="M30" s="86"/>
      <c r="N30" s="98"/>
      <c r="O30" s="7"/>
      <c r="P30" s="7"/>
    </row>
    <row r="31" spans="1:16" s="8" customFormat="1" ht="20.399999999999999" x14ac:dyDescent="0.25">
      <c r="A31" s="140" t="s">
        <v>1329</v>
      </c>
      <c r="B31" s="140" t="s">
        <v>387</v>
      </c>
      <c r="C31" s="34" t="s">
        <v>21</v>
      </c>
      <c r="D31" s="35" t="s">
        <v>23</v>
      </c>
      <c r="E31" s="35">
        <v>1</v>
      </c>
      <c r="F31" s="46" t="s">
        <v>402</v>
      </c>
      <c r="G31" s="128">
        <v>1</v>
      </c>
      <c r="H31" s="129" t="s">
        <v>14</v>
      </c>
      <c r="I31" s="135">
        <v>234</v>
      </c>
      <c r="J31" s="135">
        <v>234</v>
      </c>
      <c r="K31" s="82">
        <v>4</v>
      </c>
      <c r="L31" s="127">
        <v>0.55000000000000004</v>
      </c>
      <c r="M31" s="127">
        <v>0.7</v>
      </c>
      <c r="N31" s="36" t="s">
        <v>416</v>
      </c>
      <c r="O31" s="7"/>
      <c r="P31" s="7"/>
    </row>
    <row r="32" spans="1:16" s="8" customFormat="1" ht="20.399999999999999" x14ac:dyDescent="0.25">
      <c r="A32" s="140" t="s">
        <v>1329</v>
      </c>
      <c r="B32" s="140" t="s">
        <v>387</v>
      </c>
      <c r="C32" s="34" t="s">
        <v>21</v>
      </c>
      <c r="D32" s="35" t="s">
        <v>265</v>
      </c>
      <c r="E32" s="35">
        <v>1</v>
      </c>
      <c r="F32" s="46" t="s">
        <v>413</v>
      </c>
      <c r="G32" s="130">
        <v>1</v>
      </c>
      <c r="H32" s="129" t="s">
        <v>14</v>
      </c>
      <c r="I32" s="135">
        <v>1252</v>
      </c>
      <c r="J32" s="135">
        <v>1252</v>
      </c>
      <c r="K32" s="82">
        <v>4.34</v>
      </c>
      <c r="L32" s="127">
        <v>1.48</v>
      </c>
      <c r="M32" s="127">
        <v>1.81</v>
      </c>
      <c r="N32" s="36" t="s">
        <v>416</v>
      </c>
      <c r="O32" s="7"/>
      <c r="P32" s="7"/>
    </row>
    <row r="33" spans="1:16" s="8" customFormat="1" ht="20.399999999999999" x14ac:dyDescent="0.25">
      <c r="A33" s="140" t="s">
        <v>1329</v>
      </c>
      <c r="B33" s="140" t="s">
        <v>387</v>
      </c>
      <c r="C33" s="34" t="s">
        <v>21</v>
      </c>
      <c r="D33" s="35" t="s">
        <v>263</v>
      </c>
      <c r="E33" s="35">
        <v>1</v>
      </c>
      <c r="F33" s="46" t="s">
        <v>414</v>
      </c>
      <c r="G33" s="130">
        <v>1</v>
      </c>
      <c r="H33" s="129" t="s">
        <v>14</v>
      </c>
      <c r="I33" s="135">
        <v>3400</v>
      </c>
      <c r="J33" s="135">
        <v>3400</v>
      </c>
      <c r="K33" s="82">
        <v>3.15</v>
      </c>
      <c r="L33" s="127">
        <v>3.45</v>
      </c>
      <c r="M33" s="127">
        <v>3.77</v>
      </c>
      <c r="N33" s="36" t="s">
        <v>416</v>
      </c>
      <c r="O33" s="7"/>
      <c r="P33" s="7"/>
    </row>
    <row r="34" spans="1:16" s="8" customFormat="1" ht="20.399999999999999" x14ac:dyDescent="0.25">
      <c r="A34" s="140" t="s">
        <v>1329</v>
      </c>
      <c r="B34" s="140" t="s">
        <v>387</v>
      </c>
      <c r="C34" s="34" t="s">
        <v>21</v>
      </c>
      <c r="D34" s="35" t="s">
        <v>274</v>
      </c>
      <c r="E34" s="35">
        <v>1</v>
      </c>
      <c r="F34" s="46" t="s">
        <v>427</v>
      </c>
      <c r="G34" s="130">
        <v>1</v>
      </c>
      <c r="H34" s="129" t="s">
        <v>14</v>
      </c>
      <c r="I34" s="135">
        <v>882</v>
      </c>
      <c r="J34" s="135">
        <v>882</v>
      </c>
      <c r="K34" s="82">
        <v>2.15</v>
      </c>
      <c r="L34" s="127">
        <v>1.9</v>
      </c>
      <c r="M34" s="127">
        <v>1.8</v>
      </c>
      <c r="N34" s="36" t="s">
        <v>416</v>
      </c>
      <c r="O34" s="7"/>
      <c r="P34" s="7"/>
    </row>
    <row r="35" spans="1:16" s="8" customFormat="1" ht="20.399999999999999" x14ac:dyDescent="0.25">
      <c r="A35" s="140" t="s">
        <v>1329</v>
      </c>
      <c r="B35" s="140" t="s">
        <v>387</v>
      </c>
      <c r="C35" s="34" t="s">
        <v>21</v>
      </c>
      <c r="D35" s="35" t="s">
        <v>417</v>
      </c>
      <c r="E35" s="35">
        <v>1</v>
      </c>
      <c r="F35" s="46" t="s">
        <v>438</v>
      </c>
      <c r="G35" s="130">
        <v>1</v>
      </c>
      <c r="H35" s="129" t="s">
        <v>14</v>
      </c>
      <c r="I35" s="135">
        <v>25</v>
      </c>
      <c r="J35" s="135">
        <v>25</v>
      </c>
      <c r="K35" s="82">
        <v>0.89</v>
      </c>
      <c r="L35" s="127">
        <v>0.24</v>
      </c>
      <c r="M35" s="127">
        <v>0.24</v>
      </c>
      <c r="N35" s="36" t="s">
        <v>85</v>
      </c>
      <c r="O35" s="7"/>
      <c r="P35" s="7"/>
    </row>
    <row r="36" spans="1:16" s="8" customFormat="1" ht="20.399999999999999" x14ac:dyDescent="0.25">
      <c r="A36" s="140" t="s">
        <v>1329</v>
      </c>
      <c r="B36" s="140" t="s">
        <v>387</v>
      </c>
      <c r="C36" s="34" t="s">
        <v>21</v>
      </c>
      <c r="D36" s="35" t="s">
        <v>29</v>
      </c>
      <c r="E36" s="35">
        <v>1</v>
      </c>
      <c r="F36" s="46" t="s">
        <v>403</v>
      </c>
      <c r="G36" s="128">
        <v>1</v>
      </c>
      <c r="H36" s="129" t="s">
        <v>14</v>
      </c>
      <c r="I36" s="135">
        <v>1375</v>
      </c>
      <c r="J36" s="135">
        <v>1375</v>
      </c>
      <c r="K36" s="82">
        <v>4.09</v>
      </c>
      <c r="L36" s="127">
        <v>1.4</v>
      </c>
      <c r="M36" s="127">
        <v>1.83</v>
      </c>
      <c r="N36" s="36" t="s">
        <v>416</v>
      </c>
      <c r="O36" s="7"/>
      <c r="P36" s="7"/>
    </row>
    <row r="37" spans="1:16" s="8" customFormat="1" ht="20.399999999999999" x14ac:dyDescent="0.25">
      <c r="A37" s="140" t="s">
        <v>1329</v>
      </c>
      <c r="B37" s="140" t="s">
        <v>387</v>
      </c>
      <c r="C37" s="34" t="s">
        <v>21</v>
      </c>
      <c r="D37" s="35" t="s">
        <v>276</v>
      </c>
      <c r="E37" s="35">
        <v>1</v>
      </c>
      <c r="F37" s="46" t="s">
        <v>404</v>
      </c>
      <c r="G37" s="128">
        <v>1</v>
      </c>
      <c r="H37" s="131" t="s">
        <v>14</v>
      </c>
      <c r="I37" s="135">
        <v>504</v>
      </c>
      <c r="J37" s="135">
        <v>504</v>
      </c>
      <c r="K37" s="82">
        <v>3.7</v>
      </c>
      <c r="L37" s="127">
        <v>0.55000000000000004</v>
      </c>
      <c r="M37" s="127">
        <v>2.31</v>
      </c>
      <c r="N37" s="36" t="s">
        <v>416</v>
      </c>
      <c r="O37" s="7"/>
      <c r="P37" s="7"/>
    </row>
    <row r="38" spans="1:16" s="8" customFormat="1" ht="26.4" x14ac:dyDescent="0.25">
      <c r="A38" s="140" t="s">
        <v>1329</v>
      </c>
      <c r="B38" s="140" t="s">
        <v>387</v>
      </c>
      <c r="C38" s="34" t="s">
        <v>21</v>
      </c>
      <c r="D38" s="35" t="s">
        <v>405</v>
      </c>
      <c r="E38" s="35">
        <v>1</v>
      </c>
      <c r="F38" s="46" t="s">
        <v>406</v>
      </c>
      <c r="G38" s="130">
        <v>2</v>
      </c>
      <c r="H38" s="132" t="s">
        <v>14</v>
      </c>
      <c r="I38" s="135">
        <v>2062</v>
      </c>
      <c r="J38" s="135">
        <v>2062</v>
      </c>
      <c r="K38" s="82">
        <v>7.61</v>
      </c>
      <c r="L38" s="127">
        <v>1.6</v>
      </c>
      <c r="M38" s="127">
        <v>1.6</v>
      </c>
      <c r="N38" s="36" t="s">
        <v>416</v>
      </c>
      <c r="O38" s="7"/>
      <c r="P38" s="7"/>
    </row>
    <row r="39" spans="1:16" s="8" customFormat="1" ht="20.399999999999999" x14ac:dyDescent="0.25">
      <c r="A39" s="140" t="s">
        <v>1329</v>
      </c>
      <c r="B39" s="140" t="s">
        <v>387</v>
      </c>
      <c r="C39" s="34" t="s">
        <v>21</v>
      </c>
      <c r="D39" s="35" t="s">
        <v>278</v>
      </c>
      <c r="E39" s="35">
        <v>1</v>
      </c>
      <c r="F39" s="46" t="s">
        <v>418</v>
      </c>
      <c r="G39" s="128">
        <v>1</v>
      </c>
      <c r="H39" s="129" t="s">
        <v>14</v>
      </c>
      <c r="I39" s="135">
        <v>492</v>
      </c>
      <c r="J39" s="135">
        <v>492</v>
      </c>
      <c r="K39" s="82">
        <v>5.09</v>
      </c>
      <c r="L39" s="127">
        <v>0.65</v>
      </c>
      <c r="M39" s="127">
        <v>0.72</v>
      </c>
      <c r="N39" s="36" t="s">
        <v>416</v>
      </c>
      <c r="O39" s="7"/>
      <c r="P39" s="7"/>
    </row>
    <row r="40" spans="1:16" s="8" customFormat="1" ht="20.399999999999999" x14ac:dyDescent="0.25">
      <c r="A40" s="140" t="s">
        <v>1329</v>
      </c>
      <c r="B40" s="140" t="s">
        <v>387</v>
      </c>
      <c r="C40" s="34" t="s">
        <v>21</v>
      </c>
      <c r="D40" s="35" t="s">
        <v>31</v>
      </c>
      <c r="E40" s="35">
        <v>1</v>
      </c>
      <c r="F40" s="46" t="s">
        <v>419</v>
      </c>
      <c r="G40" s="128">
        <v>1</v>
      </c>
      <c r="H40" s="132" t="s">
        <v>14</v>
      </c>
      <c r="I40" s="135">
        <v>7650</v>
      </c>
      <c r="J40" s="135">
        <v>7650</v>
      </c>
      <c r="K40" s="82">
        <v>12.63</v>
      </c>
      <c r="L40" s="134">
        <v>2.83</v>
      </c>
      <c r="M40" s="134">
        <v>2.68</v>
      </c>
      <c r="N40" s="38" t="s">
        <v>452</v>
      </c>
      <c r="O40" s="7"/>
      <c r="P40" s="7"/>
    </row>
    <row r="41" spans="1:16" s="8" customFormat="1" ht="20.399999999999999" x14ac:dyDescent="0.25">
      <c r="A41" s="140" t="s">
        <v>1329</v>
      </c>
      <c r="B41" s="140" t="s">
        <v>387</v>
      </c>
      <c r="C41" s="34" t="s">
        <v>21</v>
      </c>
      <c r="D41" s="35" t="s">
        <v>420</v>
      </c>
      <c r="E41" s="35">
        <v>1</v>
      </c>
      <c r="F41" s="46" t="s">
        <v>441</v>
      </c>
      <c r="G41" s="128">
        <v>1</v>
      </c>
      <c r="H41" s="132" t="s">
        <v>14</v>
      </c>
      <c r="I41" s="135">
        <v>1012</v>
      </c>
      <c r="J41" s="135">
        <v>1012</v>
      </c>
      <c r="K41" s="82">
        <v>6.67</v>
      </c>
      <c r="L41" s="127">
        <v>0.75</v>
      </c>
      <c r="M41" s="127">
        <v>0.75</v>
      </c>
      <c r="N41" s="38" t="s">
        <v>416</v>
      </c>
      <c r="O41" s="7"/>
      <c r="P41" s="7"/>
    </row>
    <row r="42" spans="1:16" s="8" customFormat="1" ht="26.4" x14ac:dyDescent="0.25">
      <c r="A42" s="140" t="s">
        <v>1329</v>
      </c>
      <c r="B42" s="140" t="s">
        <v>387</v>
      </c>
      <c r="C42" s="34" t="s">
        <v>21</v>
      </c>
      <c r="D42" s="35" t="s">
        <v>421</v>
      </c>
      <c r="E42" s="35">
        <v>1</v>
      </c>
      <c r="F42" s="46" t="s">
        <v>433</v>
      </c>
      <c r="G42" s="130">
        <v>2</v>
      </c>
      <c r="H42" s="132" t="s">
        <v>14</v>
      </c>
      <c r="I42" s="135">
        <v>3040</v>
      </c>
      <c r="J42" s="135">
        <v>3040</v>
      </c>
      <c r="K42" s="82">
        <v>11.84</v>
      </c>
      <c r="L42" s="127">
        <v>1.7</v>
      </c>
      <c r="M42" s="127">
        <v>1.9</v>
      </c>
      <c r="N42" s="38" t="s">
        <v>416</v>
      </c>
      <c r="O42" s="7"/>
      <c r="P42" s="7"/>
    </row>
    <row r="43" spans="1:16" s="8" customFormat="1" ht="20.399999999999999" x14ac:dyDescent="0.25">
      <c r="A43" s="140" t="s">
        <v>1329</v>
      </c>
      <c r="B43" s="140" t="s">
        <v>387</v>
      </c>
      <c r="C43" s="34" t="s">
        <v>21</v>
      </c>
      <c r="D43" s="35" t="s">
        <v>280</v>
      </c>
      <c r="E43" s="35">
        <v>1</v>
      </c>
      <c r="F43" s="46" t="s">
        <v>422</v>
      </c>
      <c r="G43" s="130">
        <v>1</v>
      </c>
      <c r="H43" s="132" t="s">
        <v>14</v>
      </c>
      <c r="I43" s="135">
        <v>478</v>
      </c>
      <c r="J43" s="135">
        <v>478</v>
      </c>
      <c r="K43" s="82">
        <v>5.09</v>
      </c>
      <c r="L43" s="127">
        <v>0.6</v>
      </c>
      <c r="M43" s="127">
        <v>0.75</v>
      </c>
      <c r="N43" s="36" t="s">
        <v>416</v>
      </c>
      <c r="O43" s="7"/>
      <c r="P43" s="7"/>
    </row>
    <row r="44" spans="1:16" s="8" customFormat="1" ht="20.399999999999999" x14ac:dyDescent="0.25">
      <c r="A44" s="140" t="s">
        <v>1329</v>
      </c>
      <c r="B44" s="140" t="s">
        <v>387</v>
      </c>
      <c r="C44" s="34" t="s">
        <v>21</v>
      </c>
      <c r="D44" s="35" t="s">
        <v>32</v>
      </c>
      <c r="E44" s="35">
        <v>1</v>
      </c>
      <c r="F44" s="46" t="s">
        <v>423</v>
      </c>
      <c r="G44" s="130">
        <v>1</v>
      </c>
      <c r="H44" s="132" t="s">
        <v>14</v>
      </c>
      <c r="I44" s="135">
        <v>4980</v>
      </c>
      <c r="J44" s="135">
        <v>4980</v>
      </c>
      <c r="K44" s="82">
        <v>6.8</v>
      </c>
      <c r="L44" s="127">
        <v>1.2</v>
      </c>
      <c r="M44" s="127">
        <v>1.65</v>
      </c>
      <c r="N44" s="38" t="s">
        <v>1</v>
      </c>
      <c r="O44" s="7"/>
      <c r="P44" s="7"/>
    </row>
    <row r="45" spans="1:16" s="8" customFormat="1" ht="20.399999999999999" x14ac:dyDescent="0.25">
      <c r="A45" s="140" t="s">
        <v>1329</v>
      </c>
      <c r="B45" s="140" t="s">
        <v>387</v>
      </c>
      <c r="C45" s="34" t="s">
        <v>21</v>
      </c>
      <c r="D45" s="35" t="s">
        <v>283</v>
      </c>
      <c r="E45" s="35">
        <v>1</v>
      </c>
      <c r="F45" s="46" t="s">
        <v>432</v>
      </c>
      <c r="G45" s="130">
        <v>1</v>
      </c>
      <c r="H45" s="132" t="s">
        <v>14</v>
      </c>
      <c r="I45" s="135">
        <v>1620</v>
      </c>
      <c r="J45" s="135">
        <v>1620</v>
      </c>
      <c r="K45" s="82">
        <v>4.74</v>
      </c>
      <c r="L45" s="127">
        <v>0.79</v>
      </c>
      <c r="M45" s="127">
        <v>1.25</v>
      </c>
      <c r="N45" s="38" t="s">
        <v>416</v>
      </c>
      <c r="O45" s="7"/>
      <c r="P45" s="7"/>
    </row>
    <row r="46" spans="1:16" s="8" customFormat="1" ht="20.399999999999999" x14ac:dyDescent="0.25">
      <c r="A46" s="140" t="s">
        <v>1329</v>
      </c>
      <c r="B46" s="140" t="s">
        <v>387</v>
      </c>
      <c r="C46" s="34" t="s">
        <v>21</v>
      </c>
      <c r="D46" s="35" t="s">
        <v>33</v>
      </c>
      <c r="E46" s="35">
        <v>1</v>
      </c>
      <c r="F46" s="46" t="s">
        <v>424</v>
      </c>
      <c r="G46" s="130">
        <v>1</v>
      </c>
      <c r="H46" s="132" t="s">
        <v>14</v>
      </c>
      <c r="I46" s="135">
        <v>3840</v>
      </c>
      <c r="J46" s="135">
        <v>3840</v>
      </c>
      <c r="K46" s="82">
        <v>6.6</v>
      </c>
      <c r="L46" s="127">
        <v>1.1000000000000001</v>
      </c>
      <c r="M46" s="127">
        <v>1.6</v>
      </c>
      <c r="N46" s="38" t="s">
        <v>1</v>
      </c>
      <c r="O46" s="7"/>
      <c r="P46" s="7"/>
    </row>
    <row r="47" spans="1:16" s="8" customFormat="1" ht="20.399999999999999" x14ac:dyDescent="0.25">
      <c r="A47" s="140" t="s">
        <v>1332</v>
      </c>
      <c r="B47" s="140" t="s">
        <v>387</v>
      </c>
      <c r="C47" s="34" t="s">
        <v>21</v>
      </c>
      <c r="D47" s="35" t="s">
        <v>328</v>
      </c>
      <c r="E47" s="35">
        <v>1</v>
      </c>
      <c r="F47" s="46" t="s">
        <v>407</v>
      </c>
      <c r="G47" s="130">
        <v>1</v>
      </c>
      <c r="H47" s="132" t="s">
        <v>14</v>
      </c>
      <c r="I47" s="135">
        <v>532</v>
      </c>
      <c r="J47" s="135">
        <v>532</v>
      </c>
      <c r="K47" s="82">
        <v>2.8</v>
      </c>
      <c r="L47" s="127">
        <v>1.25</v>
      </c>
      <c r="M47" s="127">
        <v>1.22</v>
      </c>
      <c r="N47" s="36" t="s">
        <v>416</v>
      </c>
    </row>
    <row r="48" spans="1:16" s="8" customFormat="1" ht="20.399999999999999" x14ac:dyDescent="0.25">
      <c r="A48" s="140" t="s">
        <v>1329</v>
      </c>
      <c r="B48" s="140" t="s">
        <v>387</v>
      </c>
      <c r="C48" s="34" t="s">
        <v>21</v>
      </c>
      <c r="D48" s="35" t="s">
        <v>34</v>
      </c>
      <c r="E48" s="35">
        <v>1</v>
      </c>
      <c r="F48" s="46" t="s">
        <v>425</v>
      </c>
      <c r="G48" s="130">
        <v>1</v>
      </c>
      <c r="H48" s="132" t="s">
        <v>14</v>
      </c>
      <c r="I48" s="135">
        <v>1370</v>
      </c>
      <c r="J48" s="135">
        <v>1370</v>
      </c>
      <c r="K48" s="82">
        <v>5.1100000000000003</v>
      </c>
      <c r="L48" s="127">
        <v>0.8</v>
      </c>
      <c r="M48" s="127">
        <v>1.4</v>
      </c>
      <c r="N48" s="36" t="s">
        <v>416</v>
      </c>
    </row>
    <row r="49" spans="1:14" s="8" customFormat="1" ht="20.399999999999999" x14ac:dyDescent="0.25">
      <c r="A49" s="140" t="s">
        <v>1329</v>
      </c>
      <c r="B49" s="140" t="s">
        <v>387</v>
      </c>
      <c r="C49" s="34" t="s">
        <v>21</v>
      </c>
      <c r="D49" s="35" t="s">
        <v>287</v>
      </c>
      <c r="E49" s="35">
        <v>1</v>
      </c>
      <c r="F49" s="46" t="s">
        <v>425</v>
      </c>
      <c r="G49" s="130">
        <v>1</v>
      </c>
      <c r="H49" s="132" t="s">
        <v>14</v>
      </c>
      <c r="I49" s="177">
        <v>744</v>
      </c>
      <c r="J49" s="135">
        <v>744</v>
      </c>
      <c r="K49" s="82">
        <v>5.35</v>
      </c>
      <c r="L49" s="127">
        <v>0.56999999999999995</v>
      </c>
      <c r="M49" s="127">
        <v>1.03</v>
      </c>
      <c r="N49" s="36" t="s">
        <v>416</v>
      </c>
    </row>
    <row r="50" spans="1:14" s="8" customFormat="1" ht="20.399999999999999" x14ac:dyDescent="0.25">
      <c r="A50" s="140" t="s">
        <v>1332</v>
      </c>
      <c r="B50" s="140" t="s">
        <v>387</v>
      </c>
      <c r="C50" s="34" t="s">
        <v>21</v>
      </c>
      <c r="D50" s="35" t="s">
        <v>35</v>
      </c>
      <c r="E50" s="35">
        <v>1</v>
      </c>
      <c r="F50" s="46" t="s">
        <v>408</v>
      </c>
      <c r="G50" s="130">
        <v>1</v>
      </c>
      <c r="H50" s="132" t="s">
        <v>14</v>
      </c>
      <c r="I50" s="177">
        <v>664</v>
      </c>
      <c r="J50" s="135">
        <v>664</v>
      </c>
      <c r="K50" s="82">
        <v>3.3</v>
      </c>
      <c r="L50" s="127">
        <v>1.62</v>
      </c>
      <c r="M50" s="127">
        <v>1.62</v>
      </c>
      <c r="N50" s="36" t="s">
        <v>416</v>
      </c>
    </row>
    <row r="51" spans="1:14" s="8" customFormat="1" ht="26.4" x14ac:dyDescent="0.25">
      <c r="A51" s="140" t="s">
        <v>1329</v>
      </c>
      <c r="B51" s="140" t="s">
        <v>387</v>
      </c>
      <c r="C51" s="34" t="s">
        <v>21</v>
      </c>
      <c r="D51" s="35" t="s">
        <v>409</v>
      </c>
      <c r="E51" s="35">
        <v>1</v>
      </c>
      <c r="F51" s="46" t="s">
        <v>410</v>
      </c>
      <c r="G51" s="130">
        <v>2</v>
      </c>
      <c r="H51" s="132" t="s">
        <v>14</v>
      </c>
      <c r="I51" s="177">
        <v>1042</v>
      </c>
      <c r="J51" s="135">
        <v>1042</v>
      </c>
      <c r="K51" s="82">
        <v>9.58</v>
      </c>
      <c r="L51" s="127">
        <v>1.36</v>
      </c>
      <c r="M51" s="127">
        <v>1.36</v>
      </c>
      <c r="N51" s="36" t="s">
        <v>416</v>
      </c>
    </row>
    <row r="52" spans="1:14" s="8" customFormat="1" ht="20.399999999999999" x14ac:dyDescent="0.25">
      <c r="A52" s="140" t="s">
        <v>1329</v>
      </c>
      <c r="B52" s="140" t="s">
        <v>387</v>
      </c>
      <c r="C52" s="34" t="s">
        <v>21</v>
      </c>
      <c r="D52" s="35" t="s">
        <v>41</v>
      </c>
      <c r="E52" s="35">
        <v>1</v>
      </c>
      <c r="F52" s="46" t="s">
        <v>441</v>
      </c>
      <c r="G52" s="130">
        <v>1</v>
      </c>
      <c r="H52" s="132" t="s">
        <v>14</v>
      </c>
      <c r="I52" s="177">
        <v>336</v>
      </c>
      <c r="J52" s="135">
        <v>336</v>
      </c>
      <c r="K52" s="82">
        <v>5.55</v>
      </c>
      <c r="L52" s="127">
        <v>0.6</v>
      </c>
      <c r="M52" s="127">
        <v>1.35</v>
      </c>
      <c r="N52" s="36" t="s">
        <v>416</v>
      </c>
    </row>
    <row r="53" spans="1:14" s="8" customFormat="1" ht="20.399999999999999" x14ac:dyDescent="0.25">
      <c r="A53" s="140" t="s">
        <v>1329</v>
      </c>
      <c r="B53" s="140" t="s">
        <v>387</v>
      </c>
      <c r="C53" s="34" t="s">
        <v>21</v>
      </c>
      <c r="D53" s="35" t="s">
        <v>40</v>
      </c>
      <c r="E53" s="35">
        <v>1</v>
      </c>
      <c r="F53" s="46" t="s">
        <v>411</v>
      </c>
      <c r="G53" s="130">
        <v>1</v>
      </c>
      <c r="H53" s="132" t="s">
        <v>14</v>
      </c>
      <c r="I53" s="177">
        <v>658</v>
      </c>
      <c r="J53" s="135">
        <v>658</v>
      </c>
      <c r="K53" s="82">
        <v>7.66</v>
      </c>
      <c r="L53" s="127">
        <v>1.4</v>
      </c>
      <c r="M53" s="127">
        <v>1.4</v>
      </c>
      <c r="N53" s="36" t="s">
        <v>416</v>
      </c>
    </row>
    <row r="54" spans="1:14" s="8" customFormat="1" ht="20.399999999999999" x14ac:dyDescent="0.25">
      <c r="A54" s="140" t="s">
        <v>1329</v>
      </c>
      <c r="B54" s="140" t="s">
        <v>387</v>
      </c>
      <c r="C54" s="34" t="s">
        <v>21</v>
      </c>
      <c r="D54" s="35" t="s">
        <v>290</v>
      </c>
      <c r="E54" s="35">
        <v>1</v>
      </c>
      <c r="F54" s="46" t="s">
        <v>412</v>
      </c>
      <c r="G54" s="128">
        <v>1</v>
      </c>
      <c r="H54" s="132" t="s">
        <v>14</v>
      </c>
      <c r="I54" s="177">
        <v>522</v>
      </c>
      <c r="J54" s="135">
        <v>522</v>
      </c>
      <c r="K54" s="82">
        <v>6.28</v>
      </c>
      <c r="L54" s="127">
        <v>1.4</v>
      </c>
      <c r="M54" s="127">
        <v>1.4</v>
      </c>
      <c r="N54" s="36" t="s">
        <v>416</v>
      </c>
    </row>
    <row r="55" spans="1:14" s="8" customFormat="1" ht="20.399999999999999" x14ac:dyDescent="0.25">
      <c r="A55" s="140" t="s">
        <v>1329</v>
      </c>
      <c r="B55" s="140" t="s">
        <v>387</v>
      </c>
      <c r="C55" s="34" t="s">
        <v>18</v>
      </c>
      <c r="D55" s="150" t="s">
        <v>564</v>
      </c>
      <c r="E55" s="35">
        <v>1</v>
      </c>
      <c r="F55" s="151" t="s">
        <v>565</v>
      </c>
      <c r="G55" s="75">
        <v>1</v>
      </c>
      <c r="H55" s="129" t="s">
        <v>14</v>
      </c>
      <c r="I55" s="225">
        <v>220</v>
      </c>
      <c r="J55" s="52">
        <v>240</v>
      </c>
      <c r="K55" s="82">
        <v>1.8</v>
      </c>
      <c r="L55" s="82">
        <v>1.1000000000000001</v>
      </c>
      <c r="M55" s="82">
        <v>0.85</v>
      </c>
      <c r="N55" s="36" t="s">
        <v>85</v>
      </c>
    </row>
    <row r="56" spans="1:14" s="8" customFormat="1" ht="336" x14ac:dyDescent="0.25">
      <c r="A56" s="111"/>
      <c r="B56" s="111"/>
      <c r="C56" s="34" t="s">
        <v>20</v>
      </c>
      <c r="D56" s="35"/>
      <c r="E56" s="35">
        <v>1</v>
      </c>
      <c r="F56" s="145" t="s">
        <v>864</v>
      </c>
      <c r="G56" s="128">
        <v>5054</v>
      </c>
      <c r="H56" s="129" t="s">
        <v>14</v>
      </c>
      <c r="I56" s="48">
        <v>750</v>
      </c>
      <c r="J56" s="48">
        <v>845</v>
      </c>
      <c r="K56" s="82">
        <v>1.39</v>
      </c>
      <c r="L56" s="82">
        <v>0.99</v>
      </c>
      <c r="M56" s="82">
        <v>1.2</v>
      </c>
      <c r="N56" s="38" t="s">
        <v>85</v>
      </c>
    </row>
    <row r="57" spans="1:14" s="10" customFormat="1" ht="26.4" x14ac:dyDescent="0.25">
      <c r="A57" s="140" t="s">
        <v>1330</v>
      </c>
      <c r="B57" s="140" t="s">
        <v>887</v>
      </c>
      <c r="C57" s="34" t="s">
        <v>704</v>
      </c>
      <c r="D57" s="160" t="s">
        <v>644</v>
      </c>
      <c r="E57" s="35">
        <v>1</v>
      </c>
      <c r="F57" s="46" t="s">
        <v>888</v>
      </c>
      <c r="G57" s="75">
        <v>1</v>
      </c>
      <c r="H57" s="73" t="s">
        <v>14</v>
      </c>
      <c r="I57" s="48">
        <v>76925</v>
      </c>
      <c r="J57" s="48">
        <v>76925</v>
      </c>
      <c r="K57" s="82">
        <v>17.399999999999999</v>
      </c>
      <c r="L57" s="82">
        <v>4.5999999999999996</v>
      </c>
      <c r="M57" s="82">
        <v>4.62</v>
      </c>
      <c r="N57" s="176" t="s">
        <v>711</v>
      </c>
    </row>
    <row r="58" spans="1:14" s="10" customFormat="1" ht="26.4" x14ac:dyDescent="0.25">
      <c r="A58" s="140" t="s">
        <v>1330</v>
      </c>
      <c r="B58" s="140" t="s">
        <v>887</v>
      </c>
      <c r="C58" s="34" t="s">
        <v>704</v>
      </c>
      <c r="D58" s="160" t="s">
        <v>644</v>
      </c>
      <c r="E58" s="35">
        <v>1</v>
      </c>
      <c r="F58" s="46" t="s">
        <v>892</v>
      </c>
      <c r="G58" s="75">
        <v>1</v>
      </c>
      <c r="H58" s="73" t="s">
        <v>14</v>
      </c>
      <c r="I58" s="51">
        <v>965</v>
      </c>
      <c r="J58" s="51">
        <v>2895</v>
      </c>
      <c r="K58" s="82"/>
      <c r="L58" s="82"/>
      <c r="M58" s="82"/>
      <c r="N58" s="176" t="s">
        <v>711</v>
      </c>
    </row>
    <row r="59" spans="1:14" s="10" customFormat="1" ht="20.399999999999999" x14ac:dyDescent="0.25">
      <c r="A59" s="140" t="s">
        <v>1330</v>
      </c>
      <c r="B59" s="140" t="s">
        <v>887</v>
      </c>
      <c r="C59" s="34" t="s">
        <v>21</v>
      </c>
      <c r="D59" s="160" t="s">
        <v>644</v>
      </c>
      <c r="E59" s="35">
        <v>1</v>
      </c>
      <c r="F59" s="46" t="s">
        <v>889</v>
      </c>
      <c r="G59" s="75">
        <v>1</v>
      </c>
      <c r="H59" s="73" t="s">
        <v>396</v>
      </c>
      <c r="I59" s="177">
        <v>812</v>
      </c>
      <c r="J59" s="177">
        <v>5684</v>
      </c>
      <c r="K59" s="82"/>
      <c r="L59" s="82"/>
      <c r="M59" s="82"/>
      <c r="N59" s="176" t="s">
        <v>711</v>
      </c>
    </row>
    <row r="60" spans="1:14" s="10" customFormat="1" ht="20.399999999999999" x14ac:dyDescent="0.25">
      <c r="A60" s="140" t="s">
        <v>1330</v>
      </c>
      <c r="B60" s="140" t="s">
        <v>887</v>
      </c>
      <c r="C60" s="34" t="s">
        <v>21</v>
      </c>
      <c r="D60" s="160" t="s">
        <v>644</v>
      </c>
      <c r="E60" s="35">
        <v>1</v>
      </c>
      <c r="F60" s="46" t="s">
        <v>890</v>
      </c>
      <c r="G60" s="75">
        <v>1</v>
      </c>
      <c r="H60" s="73" t="s">
        <v>396</v>
      </c>
      <c r="I60" s="177">
        <v>1100</v>
      </c>
      <c r="J60" s="177">
        <v>2200</v>
      </c>
      <c r="K60" s="82"/>
      <c r="L60" s="82"/>
      <c r="M60" s="82"/>
      <c r="N60" s="176" t="s">
        <v>711</v>
      </c>
    </row>
    <row r="61" spans="1:14" s="10" customFormat="1" ht="20.399999999999999" x14ac:dyDescent="0.25">
      <c r="A61" s="140" t="s">
        <v>1330</v>
      </c>
      <c r="B61" s="140" t="s">
        <v>887</v>
      </c>
      <c r="C61" s="34" t="s">
        <v>21</v>
      </c>
      <c r="D61" s="160" t="s">
        <v>644</v>
      </c>
      <c r="E61" s="35">
        <v>1</v>
      </c>
      <c r="F61" s="46" t="s">
        <v>891</v>
      </c>
      <c r="G61" s="75">
        <v>1</v>
      </c>
      <c r="H61" s="76" t="s">
        <v>14</v>
      </c>
      <c r="I61" s="177">
        <v>146</v>
      </c>
      <c r="J61" s="177">
        <v>146</v>
      </c>
      <c r="K61" s="82"/>
      <c r="L61" s="82"/>
      <c r="M61" s="82"/>
      <c r="N61" s="176" t="s">
        <v>711</v>
      </c>
    </row>
    <row r="62" spans="1:14" s="10" customFormat="1" ht="26.4" x14ac:dyDescent="0.25">
      <c r="A62" s="140" t="s">
        <v>1330</v>
      </c>
      <c r="B62" s="140" t="s">
        <v>1043</v>
      </c>
      <c r="C62" s="34" t="s">
        <v>21</v>
      </c>
      <c r="D62" s="35" t="s">
        <v>616</v>
      </c>
      <c r="E62" s="35">
        <v>1</v>
      </c>
      <c r="F62" s="46" t="s">
        <v>909</v>
      </c>
      <c r="G62" s="128">
        <v>1</v>
      </c>
      <c r="H62" s="129" t="s">
        <v>14</v>
      </c>
      <c r="I62" s="48">
        <v>27960</v>
      </c>
      <c r="J62" s="48">
        <v>27960</v>
      </c>
      <c r="K62" s="82">
        <v>18.7</v>
      </c>
      <c r="L62" s="82">
        <v>3.36</v>
      </c>
      <c r="M62" s="82">
        <v>4.74</v>
      </c>
      <c r="N62" s="176"/>
    </row>
    <row r="63" spans="1:14" s="10" customFormat="1" ht="20.399999999999999" x14ac:dyDescent="0.25">
      <c r="A63" s="140" t="s">
        <v>1330</v>
      </c>
      <c r="B63" s="140" t="s">
        <v>1043</v>
      </c>
      <c r="C63" s="34" t="s">
        <v>21</v>
      </c>
      <c r="D63" s="35" t="s">
        <v>616</v>
      </c>
      <c r="E63" s="35">
        <v>1</v>
      </c>
      <c r="F63" s="46" t="s">
        <v>497</v>
      </c>
      <c r="G63" s="128">
        <v>1</v>
      </c>
      <c r="H63" s="129" t="s">
        <v>14</v>
      </c>
      <c r="I63" s="48">
        <v>240</v>
      </c>
      <c r="J63" s="48">
        <v>240</v>
      </c>
      <c r="K63" s="82">
        <v>3.27</v>
      </c>
      <c r="L63" s="127">
        <v>0.3</v>
      </c>
      <c r="M63" s="127">
        <v>0.44</v>
      </c>
      <c r="N63" s="176"/>
    </row>
    <row r="64" spans="1:14" s="10" customFormat="1" ht="20.399999999999999" x14ac:dyDescent="0.25">
      <c r="A64" s="140" t="s">
        <v>1330</v>
      </c>
      <c r="B64" s="140" t="s">
        <v>1043</v>
      </c>
      <c r="C64" s="34" t="s">
        <v>21</v>
      </c>
      <c r="D64" s="35" t="s">
        <v>722</v>
      </c>
      <c r="E64" s="35">
        <v>1</v>
      </c>
      <c r="F64" s="46" t="s">
        <v>905</v>
      </c>
      <c r="G64" s="128">
        <v>1</v>
      </c>
      <c r="H64" s="129" t="s">
        <v>14</v>
      </c>
      <c r="I64" s="48">
        <v>2340</v>
      </c>
      <c r="J64" s="48">
        <v>2340</v>
      </c>
      <c r="K64" s="82">
        <v>3.15</v>
      </c>
      <c r="L64" s="82">
        <v>1.95</v>
      </c>
      <c r="M64" s="82">
        <v>2.67</v>
      </c>
      <c r="N64" s="176"/>
    </row>
    <row r="65" spans="1:14" s="10" customFormat="1" ht="26.4" x14ac:dyDescent="0.25">
      <c r="A65" s="140" t="s">
        <v>1330</v>
      </c>
      <c r="B65" s="140" t="s">
        <v>1043</v>
      </c>
      <c r="C65" s="34" t="s">
        <v>21</v>
      </c>
      <c r="D65" s="35" t="s">
        <v>968</v>
      </c>
      <c r="E65" s="35">
        <v>44</v>
      </c>
      <c r="F65" s="46" t="s">
        <v>1069</v>
      </c>
      <c r="G65" s="139">
        <v>44</v>
      </c>
      <c r="H65" s="73" t="s">
        <v>14</v>
      </c>
      <c r="I65" s="48">
        <f>232*44</f>
        <v>10208</v>
      </c>
      <c r="J65" s="48">
        <v>10208</v>
      </c>
      <c r="K65" s="82">
        <v>13.45</v>
      </c>
      <c r="L65" s="82">
        <v>1.95</v>
      </c>
      <c r="M65" s="82">
        <v>2.4</v>
      </c>
      <c r="N65" s="176"/>
    </row>
    <row r="66" spans="1:14" s="10" customFormat="1" ht="26.4" x14ac:dyDescent="0.25">
      <c r="A66" s="140" t="s">
        <v>1330</v>
      </c>
      <c r="B66" s="140" t="s">
        <v>1043</v>
      </c>
      <c r="C66" s="34" t="s">
        <v>21</v>
      </c>
      <c r="D66" s="35" t="s">
        <v>968</v>
      </c>
      <c r="E66" s="35">
        <v>11</v>
      </c>
      <c r="F66" s="46" t="s">
        <v>1069</v>
      </c>
      <c r="G66" s="139">
        <v>11</v>
      </c>
      <c r="H66" s="73" t="s">
        <v>14</v>
      </c>
      <c r="I66" s="48">
        <f>232*11</f>
        <v>2552</v>
      </c>
      <c r="J66" s="48">
        <v>2552</v>
      </c>
      <c r="K66" s="82">
        <v>3.7</v>
      </c>
      <c r="L66" s="82">
        <v>1.95</v>
      </c>
      <c r="M66" s="82">
        <v>2.4</v>
      </c>
      <c r="N66" s="176"/>
    </row>
    <row r="67" spans="1:14" s="10" customFormat="1" ht="20.399999999999999" x14ac:dyDescent="0.25">
      <c r="A67" s="140" t="s">
        <v>1330</v>
      </c>
      <c r="B67" s="140" t="s">
        <v>1043</v>
      </c>
      <c r="C67" s="34" t="s">
        <v>18</v>
      </c>
      <c r="D67" s="35" t="s">
        <v>970</v>
      </c>
      <c r="E67" s="35">
        <v>1</v>
      </c>
      <c r="F67" s="46" t="s">
        <v>47</v>
      </c>
      <c r="G67" s="128">
        <v>1</v>
      </c>
      <c r="H67" s="129" t="s">
        <v>14</v>
      </c>
      <c r="I67" s="48">
        <v>1290</v>
      </c>
      <c r="J67" s="48">
        <v>1340</v>
      </c>
      <c r="K67" s="82">
        <v>2.15</v>
      </c>
      <c r="L67" s="82">
        <v>2.15</v>
      </c>
      <c r="M67" s="82">
        <v>0.8</v>
      </c>
      <c r="N67" s="176"/>
    </row>
    <row r="68" spans="1:14" s="10" customFormat="1" ht="20.399999999999999" x14ac:dyDescent="0.25">
      <c r="A68" s="140" t="s">
        <v>1330</v>
      </c>
      <c r="B68" s="140" t="s">
        <v>1043</v>
      </c>
      <c r="C68" s="34" t="s">
        <v>18</v>
      </c>
      <c r="D68" s="35" t="s">
        <v>970</v>
      </c>
      <c r="E68" s="35">
        <v>1</v>
      </c>
      <c r="F68" s="46" t="s">
        <v>495</v>
      </c>
      <c r="G68" s="128">
        <v>1</v>
      </c>
      <c r="H68" s="129" t="s">
        <v>14</v>
      </c>
      <c r="I68" s="48">
        <v>1280</v>
      </c>
      <c r="J68" s="48">
        <v>1330</v>
      </c>
      <c r="K68" s="82">
        <v>2.15</v>
      </c>
      <c r="L68" s="82">
        <v>2.15</v>
      </c>
      <c r="M68" s="82">
        <v>0.8</v>
      </c>
      <c r="N68" s="176"/>
    </row>
    <row r="69" spans="1:14" s="10" customFormat="1" ht="26.4" x14ac:dyDescent="0.25">
      <c r="A69" s="140" t="s">
        <v>1330</v>
      </c>
      <c r="B69" s="140" t="s">
        <v>1043</v>
      </c>
      <c r="C69" s="34" t="s">
        <v>18</v>
      </c>
      <c r="D69" s="35" t="s">
        <v>1070</v>
      </c>
      <c r="E69" s="35">
        <v>1</v>
      </c>
      <c r="F69" s="46" t="s">
        <v>1071</v>
      </c>
      <c r="G69" s="128">
        <v>2</v>
      </c>
      <c r="H69" s="129" t="s">
        <v>14</v>
      </c>
      <c r="I69" s="51">
        <v>845</v>
      </c>
      <c r="J69" s="48">
        <v>890</v>
      </c>
      <c r="K69" s="82">
        <v>1.2</v>
      </c>
      <c r="L69" s="82">
        <v>0.8</v>
      </c>
      <c r="M69" s="82">
        <v>1.1000000000000001</v>
      </c>
      <c r="N69" s="176"/>
    </row>
    <row r="70" spans="1:14" s="10" customFormat="1" ht="79.2" x14ac:dyDescent="0.25">
      <c r="A70" s="140" t="s">
        <v>1330</v>
      </c>
      <c r="B70" s="140" t="s">
        <v>1043</v>
      </c>
      <c r="C70" s="34" t="s">
        <v>20</v>
      </c>
      <c r="D70" s="35" t="s">
        <v>1072</v>
      </c>
      <c r="E70" s="35">
        <v>1</v>
      </c>
      <c r="F70" s="46" t="s">
        <v>1073</v>
      </c>
      <c r="G70" s="128">
        <v>22</v>
      </c>
      <c r="H70" s="129" t="s">
        <v>14</v>
      </c>
      <c r="I70" s="51">
        <v>600</v>
      </c>
      <c r="J70" s="48">
        <v>670</v>
      </c>
      <c r="K70" s="82">
        <v>1.7</v>
      </c>
      <c r="L70" s="82">
        <v>0.9</v>
      </c>
      <c r="M70" s="82">
        <v>0.9</v>
      </c>
      <c r="N70" s="176"/>
    </row>
    <row r="71" spans="1:14" s="10" customFormat="1" ht="39.6" x14ac:dyDescent="0.25">
      <c r="A71" s="140" t="s">
        <v>1330</v>
      </c>
      <c r="B71" s="140" t="s">
        <v>1043</v>
      </c>
      <c r="C71" s="34" t="s">
        <v>18</v>
      </c>
      <c r="D71" s="35" t="s">
        <v>1074</v>
      </c>
      <c r="E71" s="35">
        <v>1</v>
      </c>
      <c r="F71" s="46" t="s">
        <v>1075</v>
      </c>
      <c r="G71" s="75">
        <v>31</v>
      </c>
      <c r="H71" s="73" t="s">
        <v>14</v>
      </c>
      <c r="I71" s="48">
        <v>490</v>
      </c>
      <c r="J71" s="48">
        <v>510</v>
      </c>
      <c r="K71" s="82">
        <v>4.5999999999999996</v>
      </c>
      <c r="L71" s="82">
        <v>1.3</v>
      </c>
      <c r="M71" s="82">
        <v>0.3</v>
      </c>
      <c r="N71" s="176"/>
    </row>
    <row r="72" spans="1:14" s="10" customFormat="1" ht="26.4" x14ac:dyDescent="0.25">
      <c r="A72" s="140" t="s">
        <v>1330</v>
      </c>
      <c r="B72" s="140" t="s">
        <v>1043</v>
      </c>
      <c r="C72" s="34" t="s">
        <v>21</v>
      </c>
      <c r="D72" s="160" t="s">
        <v>1076</v>
      </c>
      <c r="E72" s="35">
        <v>1</v>
      </c>
      <c r="F72" s="46" t="s">
        <v>1077</v>
      </c>
      <c r="G72" s="75">
        <v>1</v>
      </c>
      <c r="H72" s="73" t="s">
        <v>14</v>
      </c>
      <c r="I72" s="48">
        <v>2000</v>
      </c>
      <c r="J72" s="48">
        <v>2000</v>
      </c>
      <c r="K72" s="82">
        <v>13.1</v>
      </c>
      <c r="L72" s="82">
        <v>0.64</v>
      </c>
      <c r="M72" s="82">
        <v>1.45</v>
      </c>
      <c r="N72" s="176"/>
    </row>
    <row r="73" spans="1:14" s="10" customFormat="1" ht="26.4" x14ac:dyDescent="0.25">
      <c r="A73" s="140" t="s">
        <v>1330</v>
      </c>
      <c r="B73" s="140" t="s">
        <v>1043</v>
      </c>
      <c r="C73" s="34" t="s">
        <v>21</v>
      </c>
      <c r="D73" s="160" t="s">
        <v>1078</v>
      </c>
      <c r="E73" s="35">
        <v>1</v>
      </c>
      <c r="F73" s="46" t="s">
        <v>1079</v>
      </c>
      <c r="G73" s="75">
        <v>1</v>
      </c>
      <c r="H73" s="73" t="s">
        <v>14</v>
      </c>
      <c r="I73" s="48">
        <v>550</v>
      </c>
      <c r="J73" s="48">
        <v>600</v>
      </c>
      <c r="K73" s="82">
        <v>1.4</v>
      </c>
      <c r="L73" s="82">
        <v>1.34</v>
      </c>
      <c r="M73" s="82">
        <v>0.9</v>
      </c>
      <c r="N73" s="176"/>
    </row>
    <row r="74" spans="1:14" s="10" customFormat="1" ht="39.6" x14ac:dyDescent="0.25">
      <c r="A74" s="140" t="s">
        <v>1330</v>
      </c>
      <c r="B74" s="140" t="s">
        <v>1043</v>
      </c>
      <c r="C74" s="34" t="s">
        <v>18</v>
      </c>
      <c r="D74" s="160" t="s">
        <v>1080</v>
      </c>
      <c r="E74" s="35">
        <v>1</v>
      </c>
      <c r="F74" s="46" t="s">
        <v>1081</v>
      </c>
      <c r="G74" s="75">
        <v>2</v>
      </c>
      <c r="H74" s="73" t="s">
        <v>14</v>
      </c>
      <c r="I74" s="48">
        <v>310</v>
      </c>
      <c r="J74" s="48">
        <v>350</v>
      </c>
      <c r="K74" s="82">
        <v>0.8</v>
      </c>
      <c r="L74" s="82">
        <v>0.8</v>
      </c>
      <c r="M74" s="82">
        <v>0.6</v>
      </c>
      <c r="N74" s="176"/>
    </row>
    <row r="75" spans="1:14" s="10" customFormat="1" ht="26.4" x14ac:dyDescent="0.25">
      <c r="A75" s="140" t="s">
        <v>1330</v>
      </c>
      <c r="B75" s="140" t="s">
        <v>1043</v>
      </c>
      <c r="C75" s="34" t="s">
        <v>21</v>
      </c>
      <c r="D75" s="35" t="s">
        <v>709</v>
      </c>
      <c r="E75" s="35">
        <v>1</v>
      </c>
      <c r="F75" s="46" t="s">
        <v>1082</v>
      </c>
      <c r="G75" s="75">
        <v>1</v>
      </c>
      <c r="H75" s="73" t="s">
        <v>14</v>
      </c>
      <c r="I75" s="48">
        <v>155</v>
      </c>
      <c r="J75" s="48">
        <v>155</v>
      </c>
      <c r="K75" s="82">
        <v>0.8</v>
      </c>
      <c r="L75" s="82">
        <v>0.8</v>
      </c>
      <c r="M75" s="82">
        <v>0.6</v>
      </c>
      <c r="N75" s="176"/>
    </row>
    <row r="76" spans="1:14" s="10" customFormat="1" ht="20.399999999999999" x14ac:dyDescent="0.25">
      <c r="A76" s="140" t="s">
        <v>1330</v>
      </c>
      <c r="B76" s="140" t="s">
        <v>1043</v>
      </c>
      <c r="C76" s="34" t="s">
        <v>18</v>
      </c>
      <c r="D76" s="35" t="s">
        <v>617</v>
      </c>
      <c r="E76" s="35">
        <v>1</v>
      </c>
      <c r="F76" s="46" t="s">
        <v>1134</v>
      </c>
      <c r="G76" s="72">
        <v>7</v>
      </c>
      <c r="H76" s="73" t="s">
        <v>14</v>
      </c>
      <c r="I76" s="48">
        <v>700</v>
      </c>
      <c r="J76" s="48">
        <v>730</v>
      </c>
      <c r="K76" s="82">
        <v>1.8</v>
      </c>
      <c r="L76" s="82">
        <v>1.2</v>
      </c>
      <c r="M76" s="82">
        <v>0.9</v>
      </c>
      <c r="N76" s="176"/>
    </row>
    <row r="77" spans="1:14" s="10" customFormat="1" ht="20.399999999999999" x14ac:dyDescent="0.25">
      <c r="A77" s="140" t="s">
        <v>1330</v>
      </c>
      <c r="B77" s="140" t="s">
        <v>1043</v>
      </c>
      <c r="C77" s="34" t="s">
        <v>21</v>
      </c>
      <c r="D77" s="35" t="s">
        <v>618</v>
      </c>
      <c r="E77" s="35">
        <v>1</v>
      </c>
      <c r="F77" s="46" t="s">
        <v>823</v>
      </c>
      <c r="G77" s="75">
        <v>1</v>
      </c>
      <c r="H77" s="129" t="s">
        <v>14</v>
      </c>
      <c r="I77" s="48">
        <v>200</v>
      </c>
      <c r="J77" s="48">
        <v>200</v>
      </c>
      <c r="K77" s="82">
        <v>4.5</v>
      </c>
      <c r="L77" s="82">
        <v>0.6</v>
      </c>
      <c r="M77" s="82">
        <v>0.7</v>
      </c>
      <c r="N77" s="176"/>
    </row>
    <row r="78" spans="1:14" s="10" customFormat="1" ht="20.399999999999999" x14ac:dyDescent="0.25">
      <c r="A78" s="140" t="s">
        <v>1330</v>
      </c>
      <c r="B78" s="140" t="s">
        <v>1043</v>
      </c>
      <c r="C78" s="34" t="s">
        <v>21</v>
      </c>
      <c r="D78" s="160" t="s">
        <v>625</v>
      </c>
      <c r="E78" s="35">
        <v>1</v>
      </c>
      <c r="F78" s="46" t="s">
        <v>1083</v>
      </c>
      <c r="G78" s="75">
        <v>1</v>
      </c>
      <c r="H78" s="129" t="s">
        <v>14</v>
      </c>
      <c r="I78" s="48">
        <v>960</v>
      </c>
      <c r="J78" s="149">
        <v>1050</v>
      </c>
      <c r="K78" s="82">
        <v>4.4000000000000004</v>
      </c>
      <c r="L78" s="82">
        <v>1.5</v>
      </c>
      <c r="M78" s="82">
        <v>1.86</v>
      </c>
      <c r="N78" s="176"/>
    </row>
    <row r="79" spans="1:14" s="10" customFormat="1" ht="20.399999999999999" x14ac:dyDescent="0.25">
      <c r="A79" s="140" t="s">
        <v>1330</v>
      </c>
      <c r="B79" s="140" t="s">
        <v>1043</v>
      </c>
      <c r="C79" s="34" t="s">
        <v>21</v>
      </c>
      <c r="D79" s="160" t="s">
        <v>620</v>
      </c>
      <c r="E79" s="35">
        <v>1</v>
      </c>
      <c r="F79" s="188" t="s">
        <v>1110</v>
      </c>
      <c r="G79" s="75">
        <v>1</v>
      </c>
      <c r="H79" s="129" t="s">
        <v>14</v>
      </c>
      <c r="I79" s="48">
        <v>2500</v>
      </c>
      <c r="J79" s="48">
        <v>2500</v>
      </c>
      <c r="K79" s="82">
        <v>3.6</v>
      </c>
      <c r="L79" s="82">
        <v>3.6</v>
      </c>
      <c r="M79" s="82">
        <v>3.15</v>
      </c>
      <c r="N79" s="176"/>
    </row>
    <row r="80" spans="1:14" s="10" customFormat="1" ht="20.399999999999999" x14ac:dyDescent="0.25">
      <c r="A80" s="140" t="s">
        <v>1330</v>
      </c>
      <c r="B80" s="140" t="s">
        <v>1043</v>
      </c>
      <c r="C80" s="34" t="s">
        <v>21</v>
      </c>
      <c r="D80" s="160" t="s">
        <v>621</v>
      </c>
      <c r="E80" s="35">
        <v>1</v>
      </c>
      <c r="F80" s="46" t="s">
        <v>1084</v>
      </c>
      <c r="G80" s="75">
        <v>1</v>
      </c>
      <c r="H80" s="129" t="s">
        <v>14</v>
      </c>
      <c r="I80" s="48">
        <v>650</v>
      </c>
      <c r="J80" s="48">
        <v>650</v>
      </c>
      <c r="K80" s="82">
        <v>2.2000000000000002</v>
      </c>
      <c r="L80" s="82">
        <v>1.75</v>
      </c>
      <c r="M80" s="82">
        <v>2.25</v>
      </c>
      <c r="N80" s="176"/>
    </row>
    <row r="81" spans="1:14" s="10" customFormat="1" ht="20.399999999999999" x14ac:dyDescent="0.25">
      <c r="A81" s="140" t="s">
        <v>1330</v>
      </c>
      <c r="B81" s="140" t="s">
        <v>1043</v>
      </c>
      <c r="C81" s="159" t="s">
        <v>21</v>
      </c>
      <c r="D81" s="160" t="s">
        <v>626</v>
      </c>
      <c r="E81" s="35">
        <v>1</v>
      </c>
      <c r="F81" s="46" t="s">
        <v>829</v>
      </c>
      <c r="G81" s="75">
        <v>1</v>
      </c>
      <c r="H81" s="73" t="s">
        <v>14</v>
      </c>
      <c r="I81" s="48">
        <v>1000</v>
      </c>
      <c r="J81" s="48">
        <v>1000</v>
      </c>
      <c r="K81" s="82">
        <v>4.0999999999999996</v>
      </c>
      <c r="L81" s="82">
        <v>1.45</v>
      </c>
      <c r="M81" s="82">
        <v>2.15</v>
      </c>
      <c r="N81" s="176"/>
    </row>
    <row r="82" spans="1:14" s="10" customFormat="1" ht="20.399999999999999" x14ac:dyDescent="0.25">
      <c r="A82" s="140" t="s">
        <v>1330</v>
      </c>
      <c r="B82" s="140" t="s">
        <v>1043</v>
      </c>
      <c r="C82" s="34" t="s">
        <v>21</v>
      </c>
      <c r="D82" s="160" t="s">
        <v>623</v>
      </c>
      <c r="E82" s="35">
        <v>1</v>
      </c>
      <c r="F82" s="46" t="s">
        <v>1085</v>
      </c>
      <c r="G82" s="75">
        <v>1</v>
      </c>
      <c r="H82" s="129" t="s">
        <v>14</v>
      </c>
      <c r="I82" s="48">
        <v>400</v>
      </c>
      <c r="J82" s="48">
        <v>400</v>
      </c>
      <c r="K82" s="82">
        <v>3.7</v>
      </c>
      <c r="L82" s="82">
        <v>0.6</v>
      </c>
      <c r="M82" s="82">
        <v>1</v>
      </c>
      <c r="N82" s="176"/>
    </row>
    <row r="83" spans="1:14" s="10" customFormat="1" ht="26.4" x14ac:dyDescent="0.25">
      <c r="A83" s="140" t="s">
        <v>1330</v>
      </c>
      <c r="B83" s="140" t="s">
        <v>1043</v>
      </c>
      <c r="C83" s="34" t="s">
        <v>21</v>
      </c>
      <c r="D83" s="160" t="s">
        <v>1086</v>
      </c>
      <c r="E83" s="35">
        <v>1</v>
      </c>
      <c r="F83" s="46" t="s">
        <v>1087</v>
      </c>
      <c r="G83" s="75">
        <v>2</v>
      </c>
      <c r="H83" s="76" t="s">
        <v>14</v>
      </c>
      <c r="I83" s="48">
        <v>1550</v>
      </c>
      <c r="J83" s="48">
        <v>1600</v>
      </c>
      <c r="K83" s="82">
        <v>7.61</v>
      </c>
      <c r="L83" s="82">
        <v>1.7</v>
      </c>
      <c r="M83" s="82">
        <v>1.79</v>
      </c>
      <c r="N83" s="176"/>
    </row>
    <row r="84" spans="1:14" ht="20.399999999999999" x14ac:dyDescent="0.25">
      <c r="A84" s="140" t="s">
        <v>1330</v>
      </c>
      <c r="B84" s="140" t="s">
        <v>1043</v>
      </c>
      <c r="C84" s="34" t="s">
        <v>21</v>
      </c>
      <c r="D84" s="160" t="s">
        <v>630</v>
      </c>
      <c r="E84" s="35">
        <v>1</v>
      </c>
      <c r="F84" s="46" t="s">
        <v>1088</v>
      </c>
      <c r="G84" s="75">
        <v>1</v>
      </c>
      <c r="H84" s="129" t="s">
        <v>14</v>
      </c>
      <c r="I84" s="48">
        <v>300</v>
      </c>
      <c r="J84" s="48">
        <v>300</v>
      </c>
      <c r="K84" s="82">
        <v>5.2</v>
      </c>
      <c r="L84" s="82">
        <v>0.8</v>
      </c>
      <c r="M84" s="82">
        <v>0.6</v>
      </c>
      <c r="N84" s="176"/>
    </row>
    <row r="85" spans="1:14" ht="20.399999999999999" x14ac:dyDescent="0.25">
      <c r="A85" s="140" t="s">
        <v>1330</v>
      </c>
      <c r="B85" s="140" t="s">
        <v>1043</v>
      </c>
      <c r="C85" s="34" t="s">
        <v>21</v>
      </c>
      <c r="D85" s="160" t="s">
        <v>1108</v>
      </c>
      <c r="E85" s="35">
        <v>1</v>
      </c>
      <c r="F85" s="188" t="s">
        <v>1109</v>
      </c>
      <c r="G85" s="75">
        <v>1</v>
      </c>
      <c r="H85" s="129" t="s">
        <v>14</v>
      </c>
      <c r="I85" s="48">
        <v>3500</v>
      </c>
      <c r="J85" s="48">
        <v>3500</v>
      </c>
      <c r="K85" s="82">
        <v>4.8099999999999996</v>
      </c>
      <c r="L85" s="82">
        <v>2.6</v>
      </c>
      <c r="M85" s="82">
        <v>2.6</v>
      </c>
      <c r="N85" s="176"/>
    </row>
    <row r="86" spans="1:14" ht="26.4" x14ac:dyDescent="0.25">
      <c r="A86" s="140" t="s">
        <v>1330</v>
      </c>
      <c r="B86" s="140" t="s">
        <v>1043</v>
      </c>
      <c r="C86" s="34" t="s">
        <v>21</v>
      </c>
      <c r="D86" s="160" t="s">
        <v>1089</v>
      </c>
      <c r="E86" s="35">
        <v>1</v>
      </c>
      <c r="F86" s="46" t="s">
        <v>1090</v>
      </c>
      <c r="G86" s="75">
        <v>1</v>
      </c>
      <c r="H86" s="129" t="s">
        <v>14</v>
      </c>
      <c r="I86" s="48">
        <v>4500</v>
      </c>
      <c r="J86" s="48">
        <v>4500</v>
      </c>
      <c r="K86" s="82">
        <v>8.83</v>
      </c>
      <c r="L86" s="82">
        <v>1.56</v>
      </c>
      <c r="M86" s="82">
        <v>1.56</v>
      </c>
      <c r="N86" s="176"/>
    </row>
    <row r="87" spans="1:14" ht="20.399999999999999" x14ac:dyDescent="0.25">
      <c r="A87" s="140" t="s">
        <v>1330</v>
      </c>
      <c r="B87" s="140" t="s">
        <v>1043</v>
      </c>
      <c r="C87" s="34" t="s">
        <v>21</v>
      </c>
      <c r="D87" s="160" t="s">
        <v>633</v>
      </c>
      <c r="E87" s="35">
        <v>1</v>
      </c>
      <c r="F87" s="46" t="s">
        <v>846</v>
      </c>
      <c r="G87" s="75">
        <v>1</v>
      </c>
      <c r="H87" s="129" t="s">
        <v>14</v>
      </c>
      <c r="I87" s="48">
        <v>950</v>
      </c>
      <c r="J87" s="48">
        <v>950</v>
      </c>
      <c r="K87" s="82">
        <v>6.6</v>
      </c>
      <c r="L87" s="82">
        <v>1.1000000000000001</v>
      </c>
      <c r="M87" s="82">
        <v>0.8</v>
      </c>
      <c r="N87" s="176"/>
    </row>
    <row r="88" spans="1:14" ht="26.4" x14ac:dyDescent="0.25">
      <c r="A88" s="140" t="s">
        <v>1330</v>
      </c>
      <c r="B88" s="140" t="s">
        <v>1043</v>
      </c>
      <c r="C88" s="34" t="s">
        <v>21</v>
      </c>
      <c r="D88" s="160" t="s">
        <v>629</v>
      </c>
      <c r="E88" s="35">
        <v>1</v>
      </c>
      <c r="F88" s="46" t="s">
        <v>1091</v>
      </c>
      <c r="G88" s="75">
        <v>2</v>
      </c>
      <c r="H88" s="129" t="s">
        <v>14</v>
      </c>
      <c r="I88" s="48">
        <v>3000</v>
      </c>
      <c r="J88" s="48">
        <v>3000</v>
      </c>
      <c r="K88" s="82">
        <v>11.84</v>
      </c>
      <c r="L88" s="82">
        <v>1.9</v>
      </c>
      <c r="M88" s="82">
        <v>1.9</v>
      </c>
      <c r="N88" s="176"/>
    </row>
    <row r="89" spans="1:14" ht="20.399999999999999" x14ac:dyDescent="0.25">
      <c r="A89" s="140" t="s">
        <v>1330</v>
      </c>
      <c r="B89" s="140" t="s">
        <v>1043</v>
      </c>
      <c r="C89" s="34" t="s">
        <v>21</v>
      </c>
      <c r="D89" s="160" t="s">
        <v>634</v>
      </c>
      <c r="E89" s="35">
        <v>1</v>
      </c>
      <c r="F89" s="46" t="s">
        <v>1092</v>
      </c>
      <c r="G89" s="75">
        <v>1</v>
      </c>
      <c r="H89" s="147" t="s">
        <v>14</v>
      </c>
      <c r="I89" s="48">
        <v>300</v>
      </c>
      <c r="J89" s="48">
        <v>330</v>
      </c>
      <c r="K89" s="82">
        <v>5.0999999999999996</v>
      </c>
      <c r="L89" s="82">
        <v>0.85</v>
      </c>
      <c r="M89" s="82">
        <v>0.6</v>
      </c>
      <c r="N89" s="176"/>
    </row>
    <row r="90" spans="1:14" ht="20.399999999999999" x14ac:dyDescent="0.25">
      <c r="A90" s="140" t="s">
        <v>1330</v>
      </c>
      <c r="B90" s="140" t="s">
        <v>1043</v>
      </c>
      <c r="C90" s="34" t="s">
        <v>21</v>
      </c>
      <c r="D90" s="160" t="s">
        <v>635</v>
      </c>
      <c r="E90" s="35">
        <v>1</v>
      </c>
      <c r="F90" s="46" t="s">
        <v>1093</v>
      </c>
      <c r="G90" s="75">
        <v>1</v>
      </c>
      <c r="H90" s="73" t="s">
        <v>14</v>
      </c>
      <c r="I90" s="48">
        <v>4500</v>
      </c>
      <c r="J90" s="48">
        <v>4600</v>
      </c>
      <c r="K90" s="82">
        <v>7.16</v>
      </c>
      <c r="L90" s="82">
        <v>1.3</v>
      </c>
      <c r="M90" s="82">
        <v>1.75</v>
      </c>
      <c r="N90" s="176"/>
    </row>
    <row r="91" spans="1:14" ht="20.399999999999999" x14ac:dyDescent="0.25">
      <c r="A91" s="140" t="s">
        <v>1330</v>
      </c>
      <c r="B91" s="140" t="s">
        <v>1043</v>
      </c>
      <c r="C91" s="34" t="s">
        <v>21</v>
      </c>
      <c r="D91" s="160" t="s">
        <v>637</v>
      </c>
      <c r="E91" s="35">
        <v>1</v>
      </c>
      <c r="F91" s="46" t="s">
        <v>1094</v>
      </c>
      <c r="G91" s="75">
        <v>1</v>
      </c>
      <c r="H91" s="73" t="s">
        <v>14</v>
      </c>
      <c r="I91" s="48">
        <v>1450</v>
      </c>
      <c r="J91" s="48">
        <v>1450</v>
      </c>
      <c r="K91" s="82">
        <v>6.45</v>
      </c>
      <c r="L91" s="82">
        <v>0.9</v>
      </c>
      <c r="M91" s="82">
        <v>1.3</v>
      </c>
      <c r="N91" s="176"/>
    </row>
    <row r="92" spans="1:14" ht="20.399999999999999" x14ac:dyDescent="0.25">
      <c r="A92" s="140" t="s">
        <v>1330</v>
      </c>
      <c r="B92" s="140" t="s">
        <v>1043</v>
      </c>
      <c r="C92" s="34" t="s">
        <v>21</v>
      </c>
      <c r="D92" s="160" t="s">
        <v>639</v>
      </c>
      <c r="E92" s="35">
        <v>1</v>
      </c>
      <c r="F92" s="46" t="s">
        <v>1095</v>
      </c>
      <c r="G92" s="75">
        <v>1</v>
      </c>
      <c r="H92" s="73" t="s">
        <v>14</v>
      </c>
      <c r="I92" s="48">
        <v>4000</v>
      </c>
      <c r="J92" s="48">
        <v>4050</v>
      </c>
      <c r="K92" s="82">
        <v>7.62</v>
      </c>
      <c r="L92" s="82">
        <v>0.95</v>
      </c>
      <c r="M92" s="82">
        <v>1.45</v>
      </c>
      <c r="N92" s="176"/>
    </row>
    <row r="93" spans="1:14" ht="20.399999999999999" x14ac:dyDescent="0.25">
      <c r="A93" s="140" t="s">
        <v>1330</v>
      </c>
      <c r="B93" s="140" t="s">
        <v>1043</v>
      </c>
      <c r="C93" s="34" t="s">
        <v>21</v>
      </c>
      <c r="D93" s="160" t="s">
        <v>640</v>
      </c>
      <c r="E93" s="35">
        <v>1</v>
      </c>
      <c r="F93" s="46" t="s">
        <v>1096</v>
      </c>
      <c r="G93" s="75">
        <v>1</v>
      </c>
      <c r="H93" s="73" t="s">
        <v>14</v>
      </c>
      <c r="I93" s="48">
        <v>600</v>
      </c>
      <c r="J93" s="48">
        <v>600</v>
      </c>
      <c r="K93" s="82">
        <v>2.8</v>
      </c>
      <c r="L93" s="82">
        <v>1.1000000000000001</v>
      </c>
      <c r="M93" s="82">
        <v>1.22</v>
      </c>
      <c r="N93" s="176"/>
    </row>
    <row r="94" spans="1:14" ht="20.399999999999999" x14ac:dyDescent="0.25">
      <c r="A94" s="140" t="s">
        <v>1330</v>
      </c>
      <c r="B94" s="140" t="s">
        <v>1043</v>
      </c>
      <c r="C94" s="34" t="s">
        <v>21</v>
      </c>
      <c r="D94" s="160" t="s">
        <v>641</v>
      </c>
      <c r="E94" s="35">
        <v>1</v>
      </c>
      <c r="F94" s="46" t="s">
        <v>1097</v>
      </c>
      <c r="G94" s="75">
        <v>1</v>
      </c>
      <c r="H94" s="73" t="s">
        <v>14</v>
      </c>
      <c r="I94" s="48">
        <v>1850</v>
      </c>
      <c r="J94" s="48">
        <v>1900</v>
      </c>
      <c r="K94" s="82">
        <v>6.1</v>
      </c>
      <c r="L94" s="82">
        <v>1.1000000000000001</v>
      </c>
      <c r="M94" s="82">
        <v>1.32</v>
      </c>
      <c r="N94" s="176"/>
    </row>
    <row r="95" spans="1:14" ht="20.399999999999999" x14ac:dyDescent="0.25">
      <c r="A95" s="140" t="s">
        <v>1330</v>
      </c>
      <c r="B95" s="140" t="s">
        <v>1043</v>
      </c>
      <c r="C95" s="34" t="s">
        <v>21</v>
      </c>
      <c r="D95" s="160" t="s">
        <v>643</v>
      </c>
      <c r="E95" s="35">
        <v>1</v>
      </c>
      <c r="F95" s="46" t="s">
        <v>1098</v>
      </c>
      <c r="G95" s="75">
        <v>1</v>
      </c>
      <c r="H95" s="73" t="s">
        <v>14</v>
      </c>
      <c r="I95" s="48">
        <v>1200</v>
      </c>
      <c r="J95" s="48">
        <v>1200</v>
      </c>
      <c r="K95" s="82">
        <v>5.0999999999999996</v>
      </c>
      <c r="L95" s="82">
        <v>0.8</v>
      </c>
      <c r="M95" s="82">
        <v>1.25</v>
      </c>
      <c r="N95" s="176"/>
    </row>
    <row r="96" spans="1:14" ht="20.399999999999999" x14ac:dyDescent="0.25">
      <c r="A96" s="140" t="s">
        <v>1330</v>
      </c>
      <c r="B96" s="140" t="s">
        <v>1043</v>
      </c>
      <c r="C96" s="34" t="s">
        <v>21</v>
      </c>
      <c r="D96" s="160" t="s">
        <v>645</v>
      </c>
      <c r="E96" s="35">
        <v>1</v>
      </c>
      <c r="F96" s="46" t="s">
        <v>850</v>
      </c>
      <c r="G96" s="75">
        <v>1</v>
      </c>
      <c r="H96" s="73" t="s">
        <v>14</v>
      </c>
      <c r="I96" s="48">
        <v>600</v>
      </c>
      <c r="J96" s="48">
        <v>600</v>
      </c>
      <c r="K96" s="82">
        <v>3.52</v>
      </c>
      <c r="L96" s="82">
        <v>1.75</v>
      </c>
      <c r="M96" s="82">
        <v>1.6</v>
      </c>
      <c r="N96" s="176"/>
    </row>
    <row r="97" spans="1:14" ht="26.4" x14ac:dyDescent="0.25">
      <c r="A97" s="140" t="s">
        <v>1330</v>
      </c>
      <c r="B97" s="140" t="s">
        <v>1043</v>
      </c>
      <c r="C97" s="34" t="s">
        <v>21</v>
      </c>
      <c r="D97" s="160" t="s">
        <v>647</v>
      </c>
      <c r="E97" s="35">
        <v>1</v>
      </c>
      <c r="F97" s="46" t="s">
        <v>1099</v>
      </c>
      <c r="G97" s="75">
        <v>2</v>
      </c>
      <c r="H97" s="73" t="s">
        <v>14</v>
      </c>
      <c r="I97" s="48">
        <v>950</v>
      </c>
      <c r="J97" s="48">
        <v>1000</v>
      </c>
      <c r="K97" s="82">
        <v>9.58</v>
      </c>
      <c r="L97" s="82">
        <v>1.1000000000000001</v>
      </c>
      <c r="M97" s="82">
        <v>1.4</v>
      </c>
      <c r="N97" s="176"/>
    </row>
    <row r="98" spans="1:14" ht="20.399999999999999" x14ac:dyDescent="0.25">
      <c r="A98" s="140" t="s">
        <v>1330</v>
      </c>
      <c r="B98" s="140" t="s">
        <v>1043</v>
      </c>
      <c r="C98" s="34" t="s">
        <v>21</v>
      </c>
      <c r="D98" s="160" t="s">
        <v>650</v>
      </c>
      <c r="E98" s="35">
        <v>1</v>
      </c>
      <c r="F98" s="46" t="s">
        <v>1100</v>
      </c>
      <c r="G98" s="75">
        <v>1</v>
      </c>
      <c r="H98" s="73" t="s">
        <v>14</v>
      </c>
      <c r="I98" s="48">
        <v>250</v>
      </c>
      <c r="J98" s="48">
        <v>255</v>
      </c>
      <c r="K98" s="82">
        <v>5.54</v>
      </c>
      <c r="L98" s="82">
        <v>1.37</v>
      </c>
      <c r="M98" s="82">
        <v>0.4</v>
      </c>
      <c r="N98" s="176"/>
    </row>
    <row r="99" spans="1:14" ht="20.399999999999999" x14ac:dyDescent="0.25">
      <c r="A99" s="140" t="s">
        <v>1330</v>
      </c>
      <c r="B99" s="140" t="s">
        <v>1043</v>
      </c>
      <c r="C99" s="34" t="s">
        <v>21</v>
      </c>
      <c r="D99" s="160" t="s">
        <v>648</v>
      </c>
      <c r="E99" s="35">
        <v>1</v>
      </c>
      <c r="F99" s="46" t="s">
        <v>742</v>
      </c>
      <c r="G99" s="75">
        <v>1</v>
      </c>
      <c r="H99" s="73" t="s">
        <v>14</v>
      </c>
      <c r="I99" s="48">
        <v>600</v>
      </c>
      <c r="J99" s="48">
        <v>600</v>
      </c>
      <c r="K99" s="82">
        <v>7.66</v>
      </c>
      <c r="L99" s="82">
        <v>1.42</v>
      </c>
      <c r="M99" s="82">
        <v>0.75</v>
      </c>
      <c r="N99" s="176"/>
    </row>
    <row r="100" spans="1:14" ht="20.399999999999999" x14ac:dyDescent="0.25">
      <c r="A100" s="140" t="s">
        <v>1330</v>
      </c>
      <c r="B100" s="140" t="s">
        <v>1043</v>
      </c>
      <c r="C100" s="34" t="s">
        <v>21</v>
      </c>
      <c r="D100" s="160" t="s">
        <v>649</v>
      </c>
      <c r="E100" s="35">
        <v>1</v>
      </c>
      <c r="F100" s="46" t="s">
        <v>743</v>
      </c>
      <c r="G100" s="75">
        <v>1</v>
      </c>
      <c r="H100" s="73" t="s">
        <v>14</v>
      </c>
      <c r="I100" s="48">
        <v>890</v>
      </c>
      <c r="J100" s="48">
        <v>890</v>
      </c>
      <c r="K100" s="82">
        <v>6.28</v>
      </c>
      <c r="L100" s="82">
        <v>1.45</v>
      </c>
      <c r="M100" s="82">
        <v>0.75</v>
      </c>
      <c r="N100" s="176"/>
    </row>
    <row r="101" spans="1:14" ht="20.399999999999999" x14ac:dyDescent="0.25">
      <c r="A101" s="140" t="s">
        <v>1330</v>
      </c>
      <c r="B101" s="140" t="s">
        <v>1043</v>
      </c>
      <c r="C101" s="34" t="s">
        <v>21</v>
      </c>
      <c r="D101" s="162" t="s">
        <v>1101</v>
      </c>
      <c r="E101" s="35">
        <v>1</v>
      </c>
      <c r="F101" s="46" t="s">
        <v>1102</v>
      </c>
      <c r="G101" s="75">
        <v>1</v>
      </c>
      <c r="H101" s="73" t="s">
        <v>14</v>
      </c>
      <c r="I101" s="51">
        <v>200</v>
      </c>
      <c r="J101" s="51">
        <v>200</v>
      </c>
      <c r="K101" s="82">
        <v>1.67</v>
      </c>
      <c r="L101" s="82">
        <v>1.05</v>
      </c>
      <c r="M101" s="82">
        <v>0.76</v>
      </c>
      <c r="N101" s="176"/>
    </row>
    <row r="102" spans="1:14" ht="92.4" x14ac:dyDescent="0.25">
      <c r="A102" s="140" t="s">
        <v>1330</v>
      </c>
      <c r="B102" s="140" t="s">
        <v>1043</v>
      </c>
      <c r="C102" s="34" t="s">
        <v>20</v>
      </c>
      <c r="D102" s="35" t="s">
        <v>1103</v>
      </c>
      <c r="E102" s="35">
        <v>1</v>
      </c>
      <c r="F102" s="46" t="s">
        <v>1104</v>
      </c>
      <c r="G102" s="75">
        <v>103</v>
      </c>
      <c r="H102" s="73" t="s">
        <v>14</v>
      </c>
      <c r="I102" s="48">
        <v>200</v>
      </c>
      <c r="J102" s="48">
        <v>210</v>
      </c>
      <c r="K102" s="82">
        <v>1.02</v>
      </c>
      <c r="L102" s="82">
        <v>1.02</v>
      </c>
      <c r="M102" s="82">
        <v>0.59</v>
      </c>
      <c r="N102" s="176"/>
    </row>
    <row r="103" spans="1:14" ht="20.399999999999999" x14ac:dyDescent="0.25">
      <c r="A103" s="140" t="s">
        <v>1330</v>
      </c>
      <c r="B103" s="140" t="s">
        <v>1043</v>
      </c>
      <c r="C103" s="34" t="s">
        <v>21</v>
      </c>
      <c r="D103" s="35" t="s">
        <v>738</v>
      </c>
      <c r="E103" s="35">
        <v>1</v>
      </c>
      <c r="F103" s="46" t="s">
        <v>37</v>
      </c>
      <c r="G103" s="147">
        <v>1</v>
      </c>
      <c r="H103" s="129" t="s">
        <v>14</v>
      </c>
      <c r="I103" s="48">
        <v>600</v>
      </c>
      <c r="J103" s="48">
        <v>600</v>
      </c>
      <c r="K103" s="82">
        <v>4.33</v>
      </c>
      <c r="L103" s="82">
        <v>1.37</v>
      </c>
      <c r="M103" s="82">
        <v>2.1</v>
      </c>
      <c r="N103" s="176"/>
    </row>
    <row r="104" spans="1:14" ht="20.399999999999999" x14ac:dyDescent="0.25">
      <c r="A104" s="140" t="s">
        <v>1330</v>
      </c>
      <c r="B104" s="140" t="s">
        <v>1043</v>
      </c>
      <c r="C104" s="34" t="s">
        <v>21</v>
      </c>
      <c r="D104" s="35" t="s">
        <v>739</v>
      </c>
      <c r="E104" s="35">
        <v>1</v>
      </c>
      <c r="F104" s="46" t="s">
        <v>37</v>
      </c>
      <c r="G104" s="147">
        <v>1</v>
      </c>
      <c r="H104" s="129" t="s">
        <v>14</v>
      </c>
      <c r="I104" s="48">
        <v>600</v>
      </c>
      <c r="J104" s="48">
        <v>600</v>
      </c>
      <c r="K104" s="82">
        <v>4.33</v>
      </c>
      <c r="L104" s="82">
        <v>1.37</v>
      </c>
      <c r="M104" s="82">
        <v>2.1</v>
      </c>
      <c r="N104" s="176"/>
    </row>
    <row r="105" spans="1:14" ht="20.399999999999999" x14ac:dyDescent="0.25">
      <c r="A105" s="140" t="s">
        <v>1330</v>
      </c>
      <c r="B105" s="140" t="s">
        <v>1043</v>
      </c>
      <c r="C105" s="34" t="s">
        <v>21</v>
      </c>
      <c r="D105" s="35" t="s">
        <v>1111</v>
      </c>
      <c r="E105" s="35">
        <v>1</v>
      </c>
      <c r="F105" s="46" t="s">
        <v>39</v>
      </c>
      <c r="G105" s="147">
        <v>1</v>
      </c>
      <c r="H105" s="129" t="s">
        <v>14</v>
      </c>
      <c r="I105" s="48">
        <v>600</v>
      </c>
      <c r="J105" s="48">
        <v>600</v>
      </c>
      <c r="K105" s="82">
        <v>4.33</v>
      </c>
      <c r="L105" s="82">
        <v>1.37</v>
      </c>
      <c r="M105" s="82">
        <v>2.1</v>
      </c>
      <c r="N105" s="176"/>
    </row>
    <row r="106" spans="1:14" ht="20.399999999999999" x14ac:dyDescent="0.25">
      <c r="A106" s="140" t="s">
        <v>1330</v>
      </c>
      <c r="B106" s="140" t="s">
        <v>1043</v>
      </c>
      <c r="C106" s="34" t="s">
        <v>21</v>
      </c>
      <c r="D106" s="35" t="s">
        <v>1105</v>
      </c>
      <c r="E106" s="35">
        <v>1</v>
      </c>
      <c r="F106" s="188" t="s">
        <v>1106</v>
      </c>
      <c r="G106" s="130">
        <v>1</v>
      </c>
      <c r="H106" s="132" t="s">
        <v>14</v>
      </c>
      <c r="I106" s="48">
        <v>40725</v>
      </c>
      <c r="J106" s="48">
        <v>40725</v>
      </c>
      <c r="K106" s="82">
        <v>12.61</v>
      </c>
      <c r="L106" s="82">
        <v>4.2</v>
      </c>
      <c r="M106" s="82">
        <v>4.2</v>
      </c>
      <c r="N106" s="176"/>
    </row>
    <row r="107" spans="1:14" ht="20.399999999999999" x14ac:dyDescent="0.25">
      <c r="A107" s="140" t="s">
        <v>1330</v>
      </c>
      <c r="B107" s="140" t="s">
        <v>1043</v>
      </c>
      <c r="C107" s="34" t="s">
        <v>21</v>
      </c>
      <c r="D107" s="160" t="s">
        <v>644</v>
      </c>
      <c r="E107" s="35">
        <v>1</v>
      </c>
      <c r="F107" s="188" t="s">
        <v>1107</v>
      </c>
      <c r="G107" s="128">
        <v>1</v>
      </c>
      <c r="H107" s="129" t="s">
        <v>14</v>
      </c>
      <c r="I107" s="48">
        <v>450</v>
      </c>
      <c r="J107" s="48">
        <v>450</v>
      </c>
      <c r="K107" s="82">
        <v>3.65</v>
      </c>
      <c r="L107" s="82">
        <v>0.25</v>
      </c>
      <c r="M107" s="82">
        <v>0.57999999999999996</v>
      </c>
      <c r="N107" s="176"/>
    </row>
    <row r="108" spans="1:14" ht="26.4" x14ac:dyDescent="0.25">
      <c r="A108" s="140" t="s">
        <v>1330</v>
      </c>
      <c r="B108" s="140" t="s">
        <v>1043</v>
      </c>
      <c r="C108" s="34" t="s">
        <v>21</v>
      </c>
      <c r="D108" s="160" t="s">
        <v>644</v>
      </c>
      <c r="E108" s="35">
        <v>1</v>
      </c>
      <c r="F108" s="46" t="s">
        <v>1136</v>
      </c>
      <c r="G108" s="147">
        <v>1</v>
      </c>
      <c r="H108" s="129" t="s">
        <v>14</v>
      </c>
      <c r="I108" s="48">
        <v>690</v>
      </c>
      <c r="J108" s="48">
        <v>690</v>
      </c>
      <c r="K108" s="82">
        <v>2.4</v>
      </c>
      <c r="L108" s="82">
        <v>0.52</v>
      </c>
      <c r="M108" s="82">
        <v>0.52</v>
      </c>
      <c r="N108" s="176"/>
    </row>
    <row r="109" spans="1:14" ht="79.2" x14ac:dyDescent="0.25">
      <c r="A109" s="140" t="s">
        <v>1330</v>
      </c>
      <c r="B109" s="140" t="s">
        <v>1043</v>
      </c>
      <c r="C109" s="34" t="s">
        <v>21</v>
      </c>
      <c r="D109" s="160" t="s">
        <v>644</v>
      </c>
      <c r="E109" s="33">
        <v>1</v>
      </c>
      <c r="F109" s="46" t="s">
        <v>1112</v>
      </c>
      <c r="G109" s="147">
        <v>5</v>
      </c>
      <c r="H109" s="129" t="s">
        <v>14</v>
      </c>
      <c r="I109" s="48">
        <v>4035</v>
      </c>
      <c r="J109" s="48">
        <v>4035</v>
      </c>
      <c r="K109" s="82">
        <v>3</v>
      </c>
      <c r="L109" s="82">
        <v>1.1000000000000001</v>
      </c>
      <c r="M109" s="82">
        <v>1.3</v>
      </c>
      <c r="N109" s="176"/>
    </row>
    <row r="110" spans="1:14" ht="20.399999999999999" x14ac:dyDescent="0.25">
      <c r="A110" s="140" t="s">
        <v>1330</v>
      </c>
      <c r="B110" s="140" t="s">
        <v>1043</v>
      </c>
      <c r="C110" s="34" t="s">
        <v>20</v>
      </c>
      <c r="D110" s="162" t="s">
        <v>644</v>
      </c>
      <c r="E110" s="33">
        <v>1</v>
      </c>
      <c r="F110" s="46" t="s">
        <v>1113</v>
      </c>
      <c r="G110" s="147">
        <v>1</v>
      </c>
      <c r="H110" s="129" t="s">
        <v>14</v>
      </c>
      <c r="I110" s="48">
        <v>310</v>
      </c>
      <c r="J110" s="48">
        <v>320</v>
      </c>
      <c r="K110" s="82">
        <v>0.81</v>
      </c>
      <c r="L110" s="82">
        <v>0.81</v>
      </c>
      <c r="M110" s="82">
        <v>0.55000000000000004</v>
      </c>
      <c r="N110" s="176"/>
    </row>
    <row r="111" spans="1:14" ht="20.399999999999999" x14ac:dyDescent="0.25">
      <c r="A111" s="140" t="s">
        <v>1330</v>
      </c>
      <c r="B111" s="140" t="s">
        <v>1043</v>
      </c>
      <c r="C111" s="34" t="s">
        <v>21</v>
      </c>
      <c r="D111" s="162" t="s">
        <v>644</v>
      </c>
      <c r="E111" s="35">
        <v>1</v>
      </c>
      <c r="F111" s="46" t="s">
        <v>1114</v>
      </c>
      <c r="G111" s="147">
        <v>1</v>
      </c>
      <c r="H111" s="73" t="s">
        <v>14</v>
      </c>
      <c r="I111" s="48">
        <v>60</v>
      </c>
      <c r="J111" s="48">
        <v>60</v>
      </c>
      <c r="K111" s="82">
        <v>1.5</v>
      </c>
      <c r="L111" s="82">
        <v>1.1000000000000001</v>
      </c>
      <c r="M111" s="82">
        <v>0.8</v>
      </c>
      <c r="N111" s="176"/>
    </row>
    <row r="112" spans="1:14" ht="20.399999999999999" x14ac:dyDescent="0.25">
      <c r="A112" s="140" t="s">
        <v>1330</v>
      </c>
      <c r="B112" s="140" t="s">
        <v>1043</v>
      </c>
      <c r="C112" s="34" t="s">
        <v>21</v>
      </c>
      <c r="D112" s="162" t="s">
        <v>644</v>
      </c>
      <c r="E112" s="35">
        <v>1</v>
      </c>
      <c r="F112" s="46" t="s">
        <v>1115</v>
      </c>
      <c r="G112" s="147">
        <v>1</v>
      </c>
      <c r="H112" s="73" t="s">
        <v>14</v>
      </c>
      <c r="I112" s="48">
        <v>60</v>
      </c>
      <c r="J112" s="48">
        <v>60</v>
      </c>
      <c r="K112" s="82">
        <v>0.7</v>
      </c>
      <c r="L112" s="82">
        <v>0.8</v>
      </c>
      <c r="M112" s="82">
        <v>0.6</v>
      </c>
      <c r="N112" s="176"/>
    </row>
    <row r="113" spans="1:14" ht="20.399999999999999" x14ac:dyDescent="0.25">
      <c r="A113" s="140" t="s">
        <v>1330</v>
      </c>
      <c r="B113" s="140" t="s">
        <v>1043</v>
      </c>
      <c r="C113" s="34" t="s">
        <v>21</v>
      </c>
      <c r="D113" s="162" t="s">
        <v>644</v>
      </c>
      <c r="E113" s="35">
        <v>1</v>
      </c>
      <c r="F113" s="46" t="s">
        <v>1116</v>
      </c>
      <c r="G113" s="147">
        <v>1</v>
      </c>
      <c r="H113" s="73" t="s">
        <v>14</v>
      </c>
      <c r="I113" s="48">
        <v>60</v>
      </c>
      <c r="J113" s="48">
        <v>60</v>
      </c>
      <c r="K113" s="82">
        <v>0.7</v>
      </c>
      <c r="L113" s="82">
        <v>0.8</v>
      </c>
      <c r="M113" s="82">
        <v>0.6</v>
      </c>
      <c r="N113" s="176"/>
    </row>
    <row r="114" spans="1:14" ht="20.399999999999999" x14ac:dyDescent="0.25">
      <c r="A114" s="140" t="s">
        <v>1330</v>
      </c>
      <c r="B114" s="140" t="s">
        <v>1043</v>
      </c>
      <c r="C114" s="34" t="s">
        <v>21</v>
      </c>
      <c r="D114" s="162" t="s">
        <v>644</v>
      </c>
      <c r="E114" s="35">
        <v>1</v>
      </c>
      <c r="F114" s="46" t="s">
        <v>1117</v>
      </c>
      <c r="G114" s="147">
        <v>1</v>
      </c>
      <c r="H114" s="73" t="s">
        <v>14</v>
      </c>
      <c r="I114" s="48">
        <v>60</v>
      </c>
      <c r="J114" s="48">
        <v>60</v>
      </c>
      <c r="K114" s="82">
        <v>0.7</v>
      </c>
      <c r="L114" s="82">
        <v>0.8</v>
      </c>
      <c r="M114" s="82">
        <v>0.6</v>
      </c>
      <c r="N114" s="176"/>
    </row>
    <row r="115" spans="1:14" ht="153" x14ac:dyDescent="0.25">
      <c r="A115" s="140" t="s">
        <v>1330</v>
      </c>
      <c r="B115" s="140" t="s">
        <v>1043</v>
      </c>
      <c r="C115" s="34" t="s">
        <v>20</v>
      </c>
      <c r="D115" s="162" t="s">
        <v>644</v>
      </c>
      <c r="E115" s="35">
        <v>1</v>
      </c>
      <c r="F115" s="164" t="s">
        <v>1118</v>
      </c>
      <c r="G115" s="147">
        <v>183</v>
      </c>
      <c r="H115" s="73" t="s">
        <v>14</v>
      </c>
      <c r="I115" s="48">
        <v>155</v>
      </c>
      <c r="J115" s="48">
        <v>170</v>
      </c>
      <c r="K115" s="82">
        <v>0.82</v>
      </c>
      <c r="L115" s="82">
        <v>0.82</v>
      </c>
      <c r="M115" s="82">
        <v>0.55000000000000004</v>
      </c>
      <c r="N115" s="176"/>
    </row>
    <row r="116" spans="1:14" ht="20.399999999999999" x14ac:dyDescent="0.25">
      <c r="A116" s="140" t="s">
        <v>1330</v>
      </c>
      <c r="B116" s="140" t="s">
        <v>1043</v>
      </c>
      <c r="C116" s="34" t="s">
        <v>21</v>
      </c>
      <c r="D116" s="162" t="s">
        <v>644</v>
      </c>
      <c r="E116" s="35">
        <v>1</v>
      </c>
      <c r="F116" s="185" t="s">
        <v>1119</v>
      </c>
      <c r="G116" s="72">
        <v>1</v>
      </c>
      <c r="H116" s="73" t="s">
        <v>14</v>
      </c>
      <c r="I116" s="48">
        <v>85</v>
      </c>
      <c r="J116" s="48">
        <v>85</v>
      </c>
      <c r="K116" s="82">
        <v>6</v>
      </c>
      <c r="L116" s="82">
        <v>0.3</v>
      </c>
      <c r="M116" s="82">
        <v>0.15</v>
      </c>
      <c r="N116" s="176"/>
    </row>
    <row r="117" spans="1:14" ht="114" x14ac:dyDescent="0.25">
      <c r="A117" s="140" t="s">
        <v>1330</v>
      </c>
      <c r="B117" s="140" t="s">
        <v>1043</v>
      </c>
      <c r="C117" s="34" t="s">
        <v>20</v>
      </c>
      <c r="D117" s="162" t="s">
        <v>644</v>
      </c>
      <c r="E117" s="35">
        <v>1</v>
      </c>
      <c r="F117" s="161" t="s">
        <v>1120</v>
      </c>
      <c r="G117" s="72">
        <v>13</v>
      </c>
      <c r="H117" s="73" t="s">
        <v>14</v>
      </c>
      <c r="I117" s="48">
        <v>255</v>
      </c>
      <c r="J117" s="48">
        <v>355</v>
      </c>
      <c r="K117" s="82">
        <v>1.3</v>
      </c>
      <c r="L117" s="82">
        <v>1.1000000000000001</v>
      </c>
      <c r="M117" s="82">
        <v>1.2</v>
      </c>
      <c r="N117" s="176"/>
    </row>
    <row r="118" spans="1:14" ht="13.8" x14ac:dyDescent="0.25">
      <c r="A118" s="140" t="s">
        <v>1330</v>
      </c>
      <c r="B118" s="140"/>
      <c r="C118" s="34"/>
      <c r="D118" s="162"/>
      <c r="E118" s="35"/>
      <c r="F118" s="161" t="s">
        <v>1667</v>
      </c>
      <c r="G118" s="72"/>
      <c r="H118" s="73"/>
      <c r="I118" s="48">
        <v>1008</v>
      </c>
      <c r="J118" s="48">
        <v>1008</v>
      </c>
      <c r="K118" s="82"/>
      <c r="L118" s="82"/>
      <c r="M118" s="82"/>
      <c r="N118" s="176"/>
    </row>
    <row r="119" spans="1:14" ht="13.8" x14ac:dyDescent="0.25">
      <c r="A119" s="140" t="s">
        <v>1330</v>
      </c>
      <c r="B119" s="140"/>
      <c r="C119" s="34"/>
      <c r="D119" s="162"/>
      <c r="E119" s="35"/>
      <c r="F119" s="161" t="s">
        <v>1668</v>
      </c>
      <c r="G119" s="72"/>
      <c r="H119" s="73"/>
      <c r="I119" s="48">
        <v>11734</v>
      </c>
      <c r="J119" s="48">
        <v>11734</v>
      </c>
      <c r="K119" s="82"/>
      <c r="L119" s="82"/>
      <c r="M119" s="82"/>
      <c r="N119" s="176"/>
    </row>
    <row r="120" spans="1:14" ht="13.8" x14ac:dyDescent="0.25">
      <c r="A120" s="140" t="s">
        <v>1330</v>
      </c>
      <c r="B120" s="140"/>
      <c r="C120" s="34"/>
      <c r="D120" s="162"/>
      <c r="E120" s="35"/>
      <c r="F120" s="161" t="s">
        <v>1669</v>
      </c>
      <c r="G120" s="72"/>
      <c r="H120" s="73"/>
      <c r="I120" s="48">
        <v>1000</v>
      </c>
      <c r="J120" s="48">
        <v>1000</v>
      </c>
      <c r="K120" s="82"/>
      <c r="L120" s="82"/>
      <c r="M120" s="82"/>
      <c r="N120" s="176"/>
    </row>
    <row r="121" spans="1:14" ht="13.8" x14ac:dyDescent="0.25">
      <c r="A121" s="140" t="s">
        <v>1330</v>
      </c>
      <c r="B121" s="140"/>
      <c r="C121" s="34"/>
      <c r="D121" s="162"/>
      <c r="E121" s="35"/>
      <c r="F121" s="161" t="s">
        <v>1670</v>
      </c>
      <c r="G121" s="72"/>
      <c r="H121" s="73"/>
      <c r="I121" s="48">
        <v>785</v>
      </c>
      <c r="J121" s="48">
        <v>785</v>
      </c>
      <c r="K121" s="82"/>
      <c r="L121" s="82"/>
      <c r="M121" s="82"/>
      <c r="N121" s="176"/>
    </row>
    <row r="122" spans="1:14" ht="13.8" x14ac:dyDescent="0.25">
      <c r="A122" s="140" t="s">
        <v>1330</v>
      </c>
      <c r="B122" s="140"/>
      <c r="C122" s="34"/>
      <c r="D122" s="162"/>
      <c r="E122" s="35"/>
      <c r="F122" s="161" t="s">
        <v>1671</v>
      </c>
      <c r="G122" s="72"/>
      <c r="H122" s="73"/>
      <c r="I122" s="48">
        <v>930</v>
      </c>
      <c r="J122" s="48">
        <v>930</v>
      </c>
      <c r="K122" s="82"/>
      <c r="L122" s="82"/>
      <c r="M122" s="82"/>
      <c r="N122" s="176"/>
    </row>
    <row r="123" spans="1:14" ht="13.8" x14ac:dyDescent="0.25">
      <c r="A123" s="140" t="s">
        <v>1330</v>
      </c>
      <c r="B123" s="140"/>
      <c r="C123" s="34"/>
      <c r="D123" s="162"/>
      <c r="E123" s="35"/>
      <c r="F123" s="161" t="s">
        <v>1672</v>
      </c>
      <c r="G123" s="72"/>
      <c r="H123" s="73"/>
      <c r="I123" s="48">
        <v>1540</v>
      </c>
      <c r="J123" s="48">
        <v>1540</v>
      </c>
      <c r="K123" s="82"/>
      <c r="L123" s="82"/>
      <c r="M123" s="82"/>
      <c r="N123" s="176"/>
    </row>
    <row r="124" spans="1:14" ht="13.8" x14ac:dyDescent="0.25">
      <c r="A124" s="140" t="s">
        <v>1330</v>
      </c>
      <c r="B124" s="140"/>
      <c r="C124" s="34"/>
      <c r="D124" s="162"/>
      <c r="E124" s="35"/>
      <c r="F124" s="161" t="s">
        <v>1673</v>
      </c>
      <c r="G124" s="72"/>
      <c r="H124" s="73"/>
      <c r="I124" s="48">
        <v>3260</v>
      </c>
      <c r="J124" s="48">
        <v>3260</v>
      </c>
      <c r="K124" s="82"/>
      <c r="L124" s="82"/>
      <c r="M124" s="82"/>
      <c r="N124" s="176"/>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F69F-9C4F-4BC8-8474-146E730783FE}">
  <sheetPr>
    <tabColor rgb="FFC00000"/>
  </sheetPr>
  <dimension ref="A1:P90"/>
  <sheetViews>
    <sheetView tabSelected="1" topLeftCell="C1" zoomScaleNormal="100" workbookViewId="0">
      <selection activeCell="P4" sqref="P4"/>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customWidth="1"/>
    <col min="13" max="13" width="17.664062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81" t="s">
        <v>1737</v>
      </c>
      <c r="L1" s="81" t="s">
        <v>1741</v>
      </c>
      <c r="M1" s="81" t="s">
        <v>1739</v>
      </c>
      <c r="N1" s="39" t="s">
        <v>124</v>
      </c>
      <c r="O1" s="7"/>
      <c r="P1" s="7"/>
    </row>
    <row r="2" spans="1:16" ht="26.4" x14ac:dyDescent="0.25">
      <c r="A2" s="140" t="s">
        <v>1333</v>
      </c>
      <c r="B2" s="140"/>
      <c r="C2" s="34" t="s">
        <v>21</v>
      </c>
      <c r="D2" s="35"/>
      <c r="E2" s="35">
        <v>64</v>
      </c>
      <c r="F2" s="46" t="s">
        <v>911</v>
      </c>
      <c r="G2" s="72">
        <v>64</v>
      </c>
      <c r="H2" s="73" t="s">
        <v>14</v>
      </c>
      <c r="I2" s="48">
        <v>1240</v>
      </c>
      <c r="J2" s="48"/>
      <c r="K2" s="82"/>
      <c r="L2" s="82"/>
      <c r="M2" s="35"/>
      <c r="N2" s="36" t="s">
        <v>0</v>
      </c>
      <c r="O2" s="7"/>
      <c r="P2" s="7"/>
    </row>
    <row r="3" spans="1:16" s="8" customFormat="1" ht="20.399999999999999" x14ac:dyDescent="0.25">
      <c r="A3" s="140" t="s">
        <v>1333</v>
      </c>
      <c r="B3" s="140"/>
      <c r="C3" s="34" t="s">
        <v>21</v>
      </c>
      <c r="D3" s="35"/>
      <c r="E3" s="35">
        <v>1</v>
      </c>
      <c r="F3" s="46" t="s">
        <v>43</v>
      </c>
      <c r="G3" s="72"/>
      <c r="H3" s="73" t="s">
        <v>14</v>
      </c>
      <c r="I3" s="48">
        <v>0</v>
      </c>
      <c r="J3" s="48"/>
      <c r="K3" s="82">
        <v>21.4</v>
      </c>
      <c r="L3" s="82">
        <v>3.63</v>
      </c>
      <c r="M3" s="82">
        <v>4.74</v>
      </c>
      <c r="N3" s="36"/>
    </row>
    <row r="4" spans="1:16" s="8" customFormat="1" ht="52.8" x14ac:dyDescent="0.25">
      <c r="A4" s="140" t="s">
        <v>1334</v>
      </c>
      <c r="B4" s="140" t="s">
        <v>611</v>
      </c>
      <c r="C4" s="159" t="s">
        <v>21</v>
      </c>
      <c r="D4" s="35" t="s">
        <v>616</v>
      </c>
      <c r="E4" s="35">
        <v>1</v>
      </c>
      <c r="F4" s="46" t="s">
        <v>912</v>
      </c>
      <c r="G4" s="75">
        <v>1</v>
      </c>
      <c r="H4" s="129" t="s">
        <v>14</v>
      </c>
      <c r="I4" s="48">
        <v>36300</v>
      </c>
      <c r="J4" s="48">
        <v>36300</v>
      </c>
      <c r="K4" s="82">
        <v>21.4</v>
      </c>
      <c r="L4" s="82">
        <v>3.63</v>
      </c>
      <c r="M4" s="82">
        <v>4.74</v>
      </c>
      <c r="N4" s="36" t="s">
        <v>452</v>
      </c>
    </row>
    <row r="5" spans="1:16" s="8" customFormat="1" ht="20.399999999999999" x14ac:dyDescent="0.25">
      <c r="A5" s="140" t="s">
        <v>1333</v>
      </c>
      <c r="B5" s="140" t="s">
        <v>611</v>
      </c>
      <c r="C5" s="34" t="s">
        <v>21</v>
      </c>
      <c r="D5" s="35" t="s">
        <v>616</v>
      </c>
      <c r="E5" s="35">
        <v>1</v>
      </c>
      <c r="F5" s="46" t="s">
        <v>679</v>
      </c>
      <c r="G5" s="75">
        <v>1</v>
      </c>
      <c r="H5" s="129" t="s">
        <v>14</v>
      </c>
      <c r="I5" s="48">
        <v>290</v>
      </c>
      <c r="J5" s="48">
        <v>290</v>
      </c>
      <c r="K5" s="82">
        <v>4.07</v>
      </c>
      <c r="L5" s="127">
        <v>0.3</v>
      </c>
      <c r="M5" s="127">
        <v>0.46</v>
      </c>
      <c r="N5" s="36" t="s">
        <v>85</v>
      </c>
    </row>
    <row r="6" spans="1:16" s="8" customFormat="1" ht="20.399999999999999" x14ac:dyDescent="0.25">
      <c r="A6" s="140" t="s">
        <v>1333</v>
      </c>
      <c r="B6" s="140" t="s">
        <v>611</v>
      </c>
      <c r="C6" s="34" t="s">
        <v>21</v>
      </c>
      <c r="D6" s="35" t="s">
        <v>616</v>
      </c>
      <c r="E6" s="35">
        <v>1</v>
      </c>
      <c r="F6" s="46" t="s">
        <v>679</v>
      </c>
      <c r="G6" s="75">
        <v>1</v>
      </c>
      <c r="H6" s="129" t="s">
        <v>14</v>
      </c>
      <c r="I6" s="48">
        <v>290</v>
      </c>
      <c r="J6" s="48">
        <v>290</v>
      </c>
      <c r="K6" s="82">
        <v>4.07</v>
      </c>
      <c r="L6" s="127">
        <v>0.3</v>
      </c>
      <c r="M6" s="127">
        <v>0.46</v>
      </c>
      <c r="N6" s="36" t="s">
        <v>85</v>
      </c>
    </row>
    <row r="7" spans="1:16" s="8" customFormat="1" ht="20.399999999999999" x14ac:dyDescent="0.25">
      <c r="A7" s="140" t="s">
        <v>1335</v>
      </c>
      <c r="B7" s="140" t="s">
        <v>611</v>
      </c>
      <c r="C7" s="159" t="s">
        <v>21</v>
      </c>
      <c r="D7" s="35" t="s">
        <v>616</v>
      </c>
      <c r="E7" s="35">
        <v>42</v>
      </c>
      <c r="F7" s="46" t="s">
        <v>913</v>
      </c>
      <c r="G7" s="128">
        <v>42</v>
      </c>
      <c r="H7" s="73" t="s">
        <v>14</v>
      </c>
      <c r="I7" s="48">
        <v>10290</v>
      </c>
      <c r="J7" s="48">
        <v>10290</v>
      </c>
      <c r="K7" s="82">
        <v>13.25</v>
      </c>
      <c r="L7" s="82">
        <v>2.31</v>
      </c>
      <c r="M7" s="82">
        <v>2.4</v>
      </c>
      <c r="N7" s="36" t="s">
        <v>85</v>
      </c>
    </row>
    <row r="8" spans="1:16" s="8" customFormat="1" ht="20.399999999999999" x14ac:dyDescent="0.25">
      <c r="A8" s="140" t="s">
        <v>1335</v>
      </c>
      <c r="B8" s="140" t="s">
        <v>611</v>
      </c>
      <c r="C8" s="159" t="s">
        <v>21</v>
      </c>
      <c r="D8" s="35" t="s">
        <v>616</v>
      </c>
      <c r="E8" s="35">
        <v>22</v>
      </c>
      <c r="F8" s="46" t="s">
        <v>913</v>
      </c>
      <c r="G8" s="128">
        <v>22</v>
      </c>
      <c r="H8" s="129" t="s">
        <v>14</v>
      </c>
      <c r="I8" s="48">
        <v>5390</v>
      </c>
      <c r="J8" s="48">
        <v>5390</v>
      </c>
      <c r="K8" s="82">
        <v>6.95</v>
      </c>
      <c r="L8" s="82">
        <v>2.31</v>
      </c>
      <c r="M8" s="82">
        <v>2.4</v>
      </c>
      <c r="N8" s="36" t="s">
        <v>85</v>
      </c>
    </row>
    <row r="9" spans="1:16" s="8" customFormat="1" ht="20.399999999999999" x14ac:dyDescent="0.25">
      <c r="A9" s="140" t="s">
        <v>1335</v>
      </c>
      <c r="B9" s="140" t="s">
        <v>611</v>
      </c>
      <c r="C9" s="159" t="s">
        <v>21</v>
      </c>
      <c r="D9" s="35" t="s">
        <v>616</v>
      </c>
      <c r="E9" s="35">
        <v>1</v>
      </c>
      <c r="F9" s="46" t="s">
        <v>660</v>
      </c>
      <c r="G9" s="128">
        <v>1</v>
      </c>
      <c r="H9" s="129" t="s">
        <v>14</v>
      </c>
      <c r="I9" s="48">
        <v>530</v>
      </c>
      <c r="J9" s="149">
        <v>530</v>
      </c>
      <c r="K9" s="82">
        <v>3.01</v>
      </c>
      <c r="L9" s="82">
        <v>2.35</v>
      </c>
      <c r="M9" s="82">
        <v>2.2999999999999998</v>
      </c>
      <c r="N9" s="36" t="s">
        <v>85</v>
      </c>
    </row>
    <row r="10" spans="1:16" s="8" customFormat="1" ht="20.399999999999999" x14ac:dyDescent="0.25">
      <c r="A10" s="140" t="s">
        <v>1335</v>
      </c>
      <c r="B10" s="140" t="s">
        <v>611</v>
      </c>
      <c r="C10" s="159" t="s">
        <v>21</v>
      </c>
      <c r="D10" s="35" t="s">
        <v>616</v>
      </c>
      <c r="E10" s="35">
        <v>1</v>
      </c>
      <c r="F10" s="46" t="s">
        <v>661</v>
      </c>
      <c r="G10" s="128">
        <v>1</v>
      </c>
      <c r="H10" s="129" t="s">
        <v>14</v>
      </c>
      <c r="I10" s="48">
        <v>890</v>
      </c>
      <c r="J10" s="149">
        <v>890</v>
      </c>
      <c r="K10" s="82">
        <v>4.4000000000000004</v>
      </c>
      <c r="L10" s="82">
        <v>3.01</v>
      </c>
      <c r="M10" s="82">
        <v>2.2999999999999998</v>
      </c>
      <c r="N10" s="36" t="s">
        <v>85</v>
      </c>
    </row>
    <row r="11" spans="1:16" s="8" customFormat="1" ht="20.399999999999999" x14ac:dyDescent="0.25">
      <c r="A11" s="140" t="s">
        <v>1335</v>
      </c>
      <c r="B11" s="140" t="s">
        <v>611</v>
      </c>
      <c r="C11" s="159" t="s">
        <v>21</v>
      </c>
      <c r="D11" s="35" t="s">
        <v>616</v>
      </c>
      <c r="E11" s="35">
        <v>1</v>
      </c>
      <c r="F11" s="46" t="s">
        <v>662</v>
      </c>
      <c r="G11" s="128">
        <v>1</v>
      </c>
      <c r="H11" s="129" t="s">
        <v>14</v>
      </c>
      <c r="I11" s="48">
        <v>960</v>
      </c>
      <c r="J11" s="149">
        <v>960</v>
      </c>
      <c r="K11" s="82">
        <v>4.4000000000000004</v>
      </c>
      <c r="L11" s="82">
        <v>3.01</v>
      </c>
      <c r="M11" s="82">
        <v>2.2999999999999998</v>
      </c>
      <c r="N11" s="36" t="s">
        <v>85</v>
      </c>
    </row>
    <row r="12" spans="1:16" s="8" customFormat="1" ht="20.399999999999999" x14ac:dyDescent="0.25">
      <c r="A12" s="140" t="s">
        <v>1335</v>
      </c>
      <c r="B12" s="140" t="s">
        <v>611</v>
      </c>
      <c r="C12" s="159" t="s">
        <v>21</v>
      </c>
      <c r="D12" s="35" t="s">
        <v>616</v>
      </c>
      <c r="E12" s="35">
        <v>1</v>
      </c>
      <c r="F12" s="46" t="s">
        <v>663</v>
      </c>
      <c r="G12" s="128">
        <v>1</v>
      </c>
      <c r="H12" s="129" t="s">
        <v>14</v>
      </c>
      <c r="I12" s="48">
        <v>785</v>
      </c>
      <c r="J12" s="149">
        <v>785</v>
      </c>
      <c r="K12" s="82">
        <v>3.2</v>
      </c>
      <c r="L12" s="82">
        <v>3.01</v>
      </c>
      <c r="M12" s="82">
        <v>2.2999999999999998</v>
      </c>
      <c r="N12" s="36" t="s">
        <v>85</v>
      </c>
    </row>
    <row r="13" spans="1:16" s="8" customFormat="1" ht="20.399999999999999" x14ac:dyDescent="0.25">
      <c r="A13" s="140" t="s">
        <v>1335</v>
      </c>
      <c r="B13" s="140" t="s">
        <v>611</v>
      </c>
      <c r="C13" s="159" t="s">
        <v>21</v>
      </c>
      <c r="D13" s="35" t="s">
        <v>616</v>
      </c>
      <c r="E13" s="35">
        <v>1</v>
      </c>
      <c r="F13" s="46" t="s">
        <v>664</v>
      </c>
      <c r="G13" s="128">
        <v>1</v>
      </c>
      <c r="H13" s="129" t="s">
        <v>14</v>
      </c>
      <c r="I13" s="48">
        <v>1180</v>
      </c>
      <c r="J13" s="149">
        <v>1180</v>
      </c>
      <c r="K13" s="82">
        <v>3.17</v>
      </c>
      <c r="L13" s="82">
        <v>2.42</v>
      </c>
      <c r="M13" s="82">
        <v>2.21</v>
      </c>
      <c r="N13" s="36" t="s">
        <v>85</v>
      </c>
    </row>
    <row r="14" spans="1:16" s="8" customFormat="1" ht="39.6" x14ac:dyDescent="0.25">
      <c r="A14" s="140" t="s">
        <v>1335</v>
      </c>
      <c r="B14" s="140" t="s">
        <v>611</v>
      </c>
      <c r="C14" s="34" t="s">
        <v>21</v>
      </c>
      <c r="D14" s="35" t="s">
        <v>722</v>
      </c>
      <c r="E14" s="35">
        <v>1</v>
      </c>
      <c r="F14" s="46" t="s">
        <v>914</v>
      </c>
      <c r="G14" s="128">
        <v>1</v>
      </c>
      <c r="H14" s="129" t="s">
        <v>14</v>
      </c>
      <c r="I14" s="48">
        <v>3225</v>
      </c>
      <c r="J14" s="48">
        <v>3225</v>
      </c>
      <c r="K14" s="82">
        <v>3.34</v>
      </c>
      <c r="L14" s="82">
        <v>2.29</v>
      </c>
      <c r="M14" s="82">
        <v>2.95</v>
      </c>
      <c r="N14" s="36"/>
    </row>
    <row r="15" spans="1:16" s="8" customFormat="1" ht="20.399999999999999" x14ac:dyDescent="0.25">
      <c r="A15" s="140" t="s">
        <v>1336</v>
      </c>
      <c r="B15" s="140" t="s">
        <v>611</v>
      </c>
      <c r="C15" s="34" t="s">
        <v>21</v>
      </c>
      <c r="D15" s="35" t="s">
        <v>616</v>
      </c>
      <c r="E15" s="35">
        <v>1</v>
      </c>
      <c r="F15" s="46" t="s">
        <v>47</v>
      </c>
      <c r="G15" s="128">
        <v>1</v>
      </c>
      <c r="H15" s="129" t="s">
        <v>14</v>
      </c>
      <c r="I15" s="48">
        <v>390</v>
      </c>
      <c r="J15" s="48">
        <v>410</v>
      </c>
      <c r="K15" s="82">
        <v>1.48</v>
      </c>
      <c r="L15" s="82">
        <v>1.34</v>
      </c>
      <c r="M15" s="82">
        <v>0.4</v>
      </c>
      <c r="N15" s="36" t="s">
        <v>85</v>
      </c>
    </row>
    <row r="16" spans="1:16" s="8" customFormat="1" ht="92.4" x14ac:dyDescent="0.25">
      <c r="A16" s="140" t="s">
        <v>1336</v>
      </c>
      <c r="B16" s="140" t="s">
        <v>611</v>
      </c>
      <c r="C16" s="34" t="s">
        <v>21</v>
      </c>
      <c r="D16" s="35" t="s">
        <v>616</v>
      </c>
      <c r="E16" s="35">
        <v>1</v>
      </c>
      <c r="F16" s="46" t="s">
        <v>700</v>
      </c>
      <c r="G16" s="128">
        <v>80</v>
      </c>
      <c r="H16" s="129" t="s">
        <v>14</v>
      </c>
      <c r="I16" s="48">
        <v>660</v>
      </c>
      <c r="J16" s="48">
        <v>680</v>
      </c>
      <c r="K16" s="82">
        <v>1.6</v>
      </c>
      <c r="L16" s="82">
        <v>1.34</v>
      </c>
      <c r="M16" s="82">
        <v>0.6</v>
      </c>
      <c r="N16" s="36" t="s">
        <v>85</v>
      </c>
    </row>
    <row r="17" spans="1:14" s="8" customFormat="1" ht="20.399999999999999" x14ac:dyDescent="0.25">
      <c r="A17" s="140" t="s">
        <v>1336</v>
      </c>
      <c r="B17" s="140" t="s">
        <v>611</v>
      </c>
      <c r="C17" s="34" t="s">
        <v>21</v>
      </c>
      <c r="D17" s="35" t="s">
        <v>616</v>
      </c>
      <c r="E17" s="35">
        <v>1</v>
      </c>
      <c r="F17" s="46" t="s">
        <v>49</v>
      </c>
      <c r="G17" s="128">
        <v>1</v>
      </c>
      <c r="H17" s="129" t="s">
        <v>14</v>
      </c>
      <c r="I17" s="48">
        <v>565</v>
      </c>
      <c r="J17" s="48">
        <v>585</v>
      </c>
      <c r="K17" s="82">
        <v>1.62</v>
      </c>
      <c r="L17" s="82">
        <v>1.52</v>
      </c>
      <c r="M17" s="82">
        <v>0.5</v>
      </c>
      <c r="N17" s="36" t="s">
        <v>85</v>
      </c>
    </row>
    <row r="18" spans="1:14" s="8" customFormat="1" ht="20.399999999999999" x14ac:dyDescent="0.25">
      <c r="A18" s="140" t="s">
        <v>1336</v>
      </c>
      <c r="B18" s="140" t="s">
        <v>611</v>
      </c>
      <c r="C18" s="34" t="s">
        <v>21</v>
      </c>
      <c r="D18" s="35" t="s">
        <v>616</v>
      </c>
      <c r="E18" s="35">
        <v>1</v>
      </c>
      <c r="F18" s="46" t="s">
        <v>496</v>
      </c>
      <c r="G18" s="128">
        <v>1</v>
      </c>
      <c r="H18" s="129" t="s">
        <v>14</v>
      </c>
      <c r="I18" s="48">
        <v>700</v>
      </c>
      <c r="J18" s="48">
        <v>720</v>
      </c>
      <c r="K18" s="82">
        <v>1.7</v>
      </c>
      <c r="L18" s="82">
        <v>1.4</v>
      </c>
      <c r="M18" s="82">
        <v>0.6</v>
      </c>
      <c r="N18" s="36" t="s">
        <v>85</v>
      </c>
    </row>
    <row r="19" spans="1:14" s="8" customFormat="1" ht="20.399999999999999" x14ac:dyDescent="0.25">
      <c r="A19" s="140" t="s">
        <v>1336</v>
      </c>
      <c r="B19" s="140" t="s">
        <v>611</v>
      </c>
      <c r="C19" s="34" t="s">
        <v>21</v>
      </c>
      <c r="D19" s="35" t="s">
        <v>616</v>
      </c>
      <c r="E19" s="35">
        <v>1</v>
      </c>
      <c r="F19" s="46" t="s">
        <v>701</v>
      </c>
      <c r="G19" s="128">
        <v>1</v>
      </c>
      <c r="H19" s="129" t="s">
        <v>14</v>
      </c>
      <c r="I19" s="48">
        <v>390</v>
      </c>
      <c r="J19" s="48">
        <v>410</v>
      </c>
      <c r="K19" s="82">
        <v>1.4</v>
      </c>
      <c r="L19" s="82">
        <v>1.3</v>
      </c>
      <c r="M19" s="82">
        <v>0.4</v>
      </c>
      <c r="N19" s="36" t="s">
        <v>85</v>
      </c>
    </row>
    <row r="20" spans="1:14" s="8" customFormat="1" ht="20.399999999999999" x14ac:dyDescent="0.25">
      <c r="A20" s="140" t="s">
        <v>1336</v>
      </c>
      <c r="B20" s="140" t="s">
        <v>611</v>
      </c>
      <c r="C20" s="34" t="s">
        <v>21</v>
      </c>
      <c r="D20" s="35" t="s">
        <v>616</v>
      </c>
      <c r="E20" s="35">
        <v>1</v>
      </c>
      <c r="F20" s="46" t="s">
        <v>702</v>
      </c>
      <c r="G20" s="128">
        <v>1</v>
      </c>
      <c r="H20" s="129" t="s">
        <v>14</v>
      </c>
      <c r="I20" s="48">
        <v>560</v>
      </c>
      <c r="J20" s="48">
        <v>580</v>
      </c>
      <c r="K20" s="82">
        <v>1.64</v>
      </c>
      <c r="L20" s="82">
        <v>1.5</v>
      </c>
      <c r="M20" s="82">
        <v>0.6</v>
      </c>
      <c r="N20" s="36" t="s">
        <v>85</v>
      </c>
    </row>
    <row r="21" spans="1:14" s="8" customFormat="1" ht="20.399999999999999" x14ac:dyDescent="0.25">
      <c r="A21" s="140" t="s">
        <v>1334</v>
      </c>
      <c r="B21" s="140" t="s">
        <v>611</v>
      </c>
      <c r="C21" s="34" t="s">
        <v>18</v>
      </c>
      <c r="D21" s="35" t="s">
        <v>617</v>
      </c>
      <c r="E21" s="35">
        <v>1</v>
      </c>
      <c r="F21" s="46" t="s">
        <v>715</v>
      </c>
      <c r="G21" s="75">
        <v>8</v>
      </c>
      <c r="H21" s="129" t="s">
        <v>14</v>
      </c>
      <c r="I21" s="48">
        <v>645</v>
      </c>
      <c r="J21" s="149">
        <v>690</v>
      </c>
      <c r="K21" s="82">
        <v>2.5499999999999998</v>
      </c>
      <c r="L21" s="82">
        <v>1.53</v>
      </c>
      <c r="M21" s="82">
        <v>0.5</v>
      </c>
      <c r="N21" s="36" t="s">
        <v>85</v>
      </c>
    </row>
    <row r="22" spans="1:14" s="8" customFormat="1" ht="26.4" x14ac:dyDescent="0.25">
      <c r="A22" s="140" t="s">
        <v>1334</v>
      </c>
      <c r="B22" s="140" t="s">
        <v>611</v>
      </c>
      <c r="C22" s="34" t="s">
        <v>21</v>
      </c>
      <c r="D22" s="35" t="s">
        <v>618</v>
      </c>
      <c r="E22" s="35">
        <v>1</v>
      </c>
      <c r="F22" s="46" t="s">
        <v>699</v>
      </c>
      <c r="G22" s="75">
        <v>1</v>
      </c>
      <c r="H22" s="129" t="s">
        <v>14</v>
      </c>
      <c r="I22" s="48">
        <v>448</v>
      </c>
      <c r="J22" s="149">
        <v>448</v>
      </c>
      <c r="K22" s="82">
        <v>4.38</v>
      </c>
      <c r="L22" s="82">
        <v>0.65</v>
      </c>
      <c r="M22" s="82">
        <v>0.7</v>
      </c>
      <c r="N22" s="36" t="s">
        <v>85</v>
      </c>
    </row>
    <row r="23" spans="1:14" s="8" customFormat="1" ht="20.399999999999999" x14ac:dyDescent="0.25">
      <c r="A23" s="140" t="s">
        <v>1334</v>
      </c>
      <c r="B23" s="140" t="s">
        <v>611</v>
      </c>
      <c r="C23" s="159" t="s">
        <v>21</v>
      </c>
      <c r="D23" s="160" t="s">
        <v>620</v>
      </c>
      <c r="E23" s="35">
        <v>1</v>
      </c>
      <c r="F23" s="46" t="s">
        <v>730</v>
      </c>
      <c r="G23" s="75">
        <v>1</v>
      </c>
      <c r="H23" s="129" t="s">
        <v>14</v>
      </c>
      <c r="I23" s="48">
        <v>3700</v>
      </c>
      <c r="J23" s="48">
        <v>3700</v>
      </c>
      <c r="K23" s="82">
        <v>6.48</v>
      </c>
      <c r="L23" s="82">
        <v>2.65</v>
      </c>
      <c r="M23" s="82">
        <v>3.2</v>
      </c>
      <c r="N23" s="36" t="s">
        <v>712</v>
      </c>
    </row>
    <row r="24" spans="1:14" s="8" customFormat="1" ht="26.4" x14ac:dyDescent="0.25">
      <c r="A24" s="140" t="s">
        <v>1334</v>
      </c>
      <c r="B24" s="140" t="s">
        <v>611</v>
      </c>
      <c r="C24" s="34" t="s">
        <v>18</v>
      </c>
      <c r="D24" s="160" t="s">
        <v>714</v>
      </c>
      <c r="E24" s="35">
        <v>1</v>
      </c>
      <c r="F24" s="123" t="s">
        <v>721</v>
      </c>
      <c r="G24" s="75">
        <v>3</v>
      </c>
      <c r="H24" s="129" t="s">
        <v>14</v>
      </c>
      <c r="I24" s="48">
        <v>95</v>
      </c>
      <c r="J24" s="149">
        <v>115</v>
      </c>
      <c r="K24" s="82">
        <v>1.2</v>
      </c>
      <c r="L24" s="82">
        <v>0.8</v>
      </c>
      <c r="M24" s="82">
        <v>0.55000000000000004</v>
      </c>
      <c r="N24" s="36" t="s">
        <v>712</v>
      </c>
    </row>
    <row r="25" spans="1:14" s="8" customFormat="1" ht="20.399999999999999" x14ac:dyDescent="0.25">
      <c r="A25" s="140" t="s">
        <v>1334</v>
      </c>
      <c r="B25" s="140" t="s">
        <v>611</v>
      </c>
      <c r="C25" s="34" t="s">
        <v>21</v>
      </c>
      <c r="D25" s="160" t="s">
        <v>621</v>
      </c>
      <c r="E25" s="35">
        <v>1</v>
      </c>
      <c r="F25" s="46" t="s">
        <v>622</v>
      </c>
      <c r="G25" s="75">
        <v>1</v>
      </c>
      <c r="H25" s="129" t="s">
        <v>14</v>
      </c>
      <c r="I25" s="48">
        <v>1084</v>
      </c>
      <c r="J25" s="48">
        <v>1084</v>
      </c>
      <c r="K25" s="82">
        <v>2.72</v>
      </c>
      <c r="L25" s="82">
        <v>1.69</v>
      </c>
      <c r="M25" s="82">
        <v>2.7</v>
      </c>
      <c r="N25" s="36" t="s">
        <v>712</v>
      </c>
    </row>
    <row r="26" spans="1:14" s="8" customFormat="1" ht="26.4" x14ac:dyDescent="0.25">
      <c r="A26" s="140" t="s">
        <v>1334</v>
      </c>
      <c r="B26" s="140" t="s">
        <v>611</v>
      </c>
      <c r="C26" s="34" t="s">
        <v>21</v>
      </c>
      <c r="D26" s="160" t="s">
        <v>623</v>
      </c>
      <c r="E26" s="35">
        <v>1</v>
      </c>
      <c r="F26" s="46" t="s">
        <v>624</v>
      </c>
      <c r="G26" s="75">
        <v>1</v>
      </c>
      <c r="H26" s="129" t="s">
        <v>14</v>
      </c>
      <c r="I26" s="48">
        <v>519</v>
      </c>
      <c r="J26" s="149">
        <v>519</v>
      </c>
      <c r="K26" s="82">
        <v>3.9</v>
      </c>
      <c r="L26" s="82">
        <v>0.55000000000000004</v>
      </c>
      <c r="M26" s="82">
        <v>0.98</v>
      </c>
      <c r="N26" s="36" t="s">
        <v>85</v>
      </c>
    </row>
    <row r="27" spans="1:14" s="8" customFormat="1" ht="20.399999999999999" x14ac:dyDescent="0.25">
      <c r="A27" s="140" t="s">
        <v>1334</v>
      </c>
      <c r="B27" s="140" t="s">
        <v>611</v>
      </c>
      <c r="C27" s="34" t="s">
        <v>21</v>
      </c>
      <c r="D27" s="160" t="s">
        <v>625</v>
      </c>
      <c r="E27" s="35">
        <v>1</v>
      </c>
      <c r="F27" s="46" t="s">
        <v>732</v>
      </c>
      <c r="G27" s="75">
        <v>1</v>
      </c>
      <c r="H27" s="129" t="s">
        <v>14</v>
      </c>
      <c r="I27" s="48">
        <v>1500</v>
      </c>
      <c r="J27" s="149">
        <v>1500</v>
      </c>
      <c r="K27" s="82">
        <v>4.3600000000000003</v>
      </c>
      <c r="L27" s="82">
        <v>1.87</v>
      </c>
      <c r="M27" s="82">
        <v>2.36</v>
      </c>
      <c r="N27" s="36" t="s">
        <v>712</v>
      </c>
    </row>
    <row r="28" spans="1:14" s="8" customFormat="1" ht="20.399999999999999" x14ac:dyDescent="0.25">
      <c r="A28" s="140" t="s">
        <v>1334</v>
      </c>
      <c r="B28" s="140" t="s">
        <v>611</v>
      </c>
      <c r="C28" s="159" t="s">
        <v>21</v>
      </c>
      <c r="D28" s="160" t="s">
        <v>626</v>
      </c>
      <c r="E28" s="35">
        <v>1</v>
      </c>
      <c r="F28" s="46" t="s">
        <v>731</v>
      </c>
      <c r="G28" s="75">
        <v>1</v>
      </c>
      <c r="H28" s="73" t="s">
        <v>14</v>
      </c>
      <c r="I28" s="48">
        <v>2340</v>
      </c>
      <c r="J28" s="48">
        <v>2340</v>
      </c>
      <c r="K28" s="82">
        <v>5.07</v>
      </c>
      <c r="L28" s="82">
        <v>2.6</v>
      </c>
      <c r="M28" s="82">
        <v>2.65</v>
      </c>
      <c r="N28" s="36" t="s">
        <v>712</v>
      </c>
    </row>
    <row r="29" spans="1:14" s="8" customFormat="1" ht="26.4" x14ac:dyDescent="0.25">
      <c r="A29" s="140" t="s">
        <v>1334</v>
      </c>
      <c r="B29" s="140" t="s">
        <v>611</v>
      </c>
      <c r="C29" s="34" t="s">
        <v>21</v>
      </c>
      <c r="D29" s="160" t="s">
        <v>627</v>
      </c>
      <c r="E29" s="35">
        <v>1</v>
      </c>
      <c r="F29" s="46" t="s">
        <v>628</v>
      </c>
      <c r="G29" s="75">
        <v>2</v>
      </c>
      <c r="H29" s="76" t="s">
        <v>14</v>
      </c>
      <c r="I29" s="48">
        <v>2750</v>
      </c>
      <c r="J29" s="149">
        <v>2750</v>
      </c>
      <c r="K29" s="82">
        <v>8.19</v>
      </c>
      <c r="L29" s="82">
        <v>1.7</v>
      </c>
      <c r="M29" s="82">
        <v>1.79</v>
      </c>
      <c r="N29" s="36" t="s">
        <v>712</v>
      </c>
    </row>
    <row r="30" spans="1:14" s="8" customFormat="1" ht="26.4" x14ac:dyDescent="0.25">
      <c r="A30" s="140" t="s">
        <v>1334</v>
      </c>
      <c r="B30" s="140" t="s">
        <v>611</v>
      </c>
      <c r="C30" s="34" t="s">
        <v>21</v>
      </c>
      <c r="D30" s="160" t="s">
        <v>629</v>
      </c>
      <c r="E30" s="35">
        <v>1</v>
      </c>
      <c r="F30" s="46" t="s">
        <v>744</v>
      </c>
      <c r="G30" s="75">
        <v>2</v>
      </c>
      <c r="H30" s="129" t="s">
        <v>14</v>
      </c>
      <c r="I30" s="48">
        <v>4055</v>
      </c>
      <c r="J30" s="149">
        <v>4055</v>
      </c>
      <c r="K30" s="82">
        <v>11.38</v>
      </c>
      <c r="L30" s="82">
        <v>1.75</v>
      </c>
      <c r="M30" s="82">
        <v>1.75</v>
      </c>
      <c r="N30" s="36" t="s">
        <v>85</v>
      </c>
    </row>
    <row r="31" spans="1:14" s="8" customFormat="1" ht="26.4" x14ac:dyDescent="0.25">
      <c r="A31" s="140" t="s">
        <v>1334</v>
      </c>
      <c r="B31" s="140" t="s">
        <v>611</v>
      </c>
      <c r="C31" s="34" t="s">
        <v>21</v>
      </c>
      <c r="D31" s="160" t="s">
        <v>630</v>
      </c>
      <c r="E31" s="35">
        <v>1</v>
      </c>
      <c r="F31" s="46" t="s">
        <v>693</v>
      </c>
      <c r="G31" s="75">
        <v>1</v>
      </c>
      <c r="H31" s="129" t="s">
        <v>14</v>
      </c>
      <c r="I31" s="48">
        <v>593</v>
      </c>
      <c r="J31" s="149">
        <v>593</v>
      </c>
      <c r="K31" s="82">
        <v>5.39</v>
      </c>
      <c r="L31" s="82">
        <v>0.97</v>
      </c>
      <c r="M31" s="82">
        <v>0.7</v>
      </c>
      <c r="N31" s="36" t="s">
        <v>85</v>
      </c>
    </row>
    <row r="32" spans="1:14" s="8" customFormat="1" ht="34.200000000000003" x14ac:dyDescent="0.25">
      <c r="A32" s="140" t="s">
        <v>1334</v>
      </c>
      <c r="B32" s="140" t="s">
        <v>611</v>
      </c>
      <c r="C32" s="34" t="s">
        <v>704</v>
      </c>
      <c r="D32" s="160" t="s">
        <v>631</v>
      </c>
      <c r="E32" s="35">
        <v>1</v>
      </c>
      <c r="F32" s="161" t="s">
        <v>632</v>
      </c>
      <c r="G32" s="75">
        <v>1</v>
      </c>
      <c r="H32" s="129" t="s">
        <v>14</v>
      </c>
      <c r="I32" s="48">
        <v>9300</v>
      </c>
      <c r="J32" s="149">
        <v>9300</v>
      </c>
      <c r="K32" s="82">
        <v>11.65</v>
      </c>
      <c r="L32" s="82">
        <v>3.18</v>
      </c>
      <c r="M32" s="82">
        <v>3.35</v>
      </c>
      <c r="N32" s="36" t="s">
        <v>711</v>
      </c>
    </row>
    <row r="33" spans="1:14" s="8" customFormat="1" ht="26.4" x14ac:dyDescent="0.25">
      <c r="A33" s="140" t="s">
        <v>1334</v>
      </c>
      <c r="B33" s="140" t="s">
        <v>611</v>
      </c>
      <c r="C33" s="34" t="s">
        <v>21</v>
      </c>
      <c r="D33" s="160" t="s">
        <v>633</v>
      </c>
      <c r="E33" s="35">
        <v>1</v>
      </c>
      <c r="F33" s="46" t="s">
        <v>694</v>
      </c>
      <c r="G33" s="75">
        <v>1</v>
      </c>
      <c r="H33" s="129" t="s">
        <v>14</v>
      </c>
      <c r="I33" s="48">
        <v>1762</v>
      </c>
      <c r="J33" s="149">
        <v>1762</v>
      </c>
      <c r="K33" s="82">
        <v>6.85</v>
      </c>
      <c r="L33" s="82">
        <v>0.85</v>
      </c>
      <c r="M33" s="82">
        <v>1.3</v>
      </c>
      <c r="N33" s="36" t="s">
        <v>85</v>
      </c>
    </row>
    <row r="34" spans="1:14" s="8" customFormat="1" ht="20.399999999999999" x14ac:dyDescent="0.25">
      <c r="A34" s="140" t="s">
        <v>1334</v>
      </c>
      <c r="B34" s="140" t="s">
        <v>611</v>
      </c>
      <c r="C34" s="34" t="s">
        <v>21</v>
      </c>
      <c r="D34" s="160" t="s">
        <v>634</v>
      </c>
      <c r="E34" s="35">
        <v>1</v>
      </c>
      <c r="F34" s="46" t="s">
        <v>695</v>
      </c>
      <c r="G34" s="75">
        <v>1</v>
      </c>
      <c r="H34" s="147" t="s">
        <v>14</v>
      </c>
      <c r="I34" s="48">
        <v>608</v>
      </c>
      <c r="J34" s="149">
        <v>608</v>
      </c>
      <c r="K34" s="82">
        <v>5.89</v>
      </c>
      <c r="L34" s="82">
        <v>0.65</v>
      </c>
      <c r="M34" s="82">
        <v>1.08</v>
      </c>
      <c r="N34" s="36" t="s">
        <v>85</v>
      </c>
    </row>
    <row r="35" spans="1:14" s="8" customFormat="1" ht="26.4" x14ac:dyDescent="0.25">
      <c r="A35" s="140" t="s">
        <v>1334</v>
      </c>
      <c r="B35" s="140" t="s">
        <v>611</v>
      </c>
      <c r="C35" s="34" t="s">
        <v>21</v>
      </c>
      <c r="D35" s="160" t="s">
        <v>635</v>
      </c>
      <c r="E35" s="35">
        <v>1</v>
      </c>
      <c r="F35" s="46" t="s">
        <v>636</v>
      </c>
      <c r="G35" s="75">
        <v>1</v>
      </c>
      <c r="H35" s="73" t="s">
        <v>14</v>
      </c>
      <c r="I35" s="48">
        <v>6400</v>
      </c>
      <c r="J35" s="48">
        <v>6400</v>
      </c>
      <c r="K35" s="82">
        <v>7.18</v>
      </c>
      <c r="L35" s="82">
        <v>1.4</v>
      </c>
      <c r="M35" s="82">
        <v>1.85</v>
      </c>
      <c r="N35" s="36" t="s">
        <v>711</v>
      </c>
    </row>
    <row r="36" spans="1:14" s="8" customFormat="1" ht="26.4" x14ac:dyDescent="0.25">
      <c r="A36" s="140" t="s">
        <v>1334</v>
      </c>
      <c r="B36" s="140" t="s">
        <v>611</v>
      </c>
      <c r="C36" s="34" t="s">
        <v>21</v>
      </c>
      <c r="D36" s="160" t="s">
        <v>637</v>
      </c>
      <c r="E36" s="35">
        <v>1</v>
      </c>
      <c r="F36" s="46" t="s">
        <v>638</v>
      </c>
      <c r="G36" s="75">
        <v>1</v>
      </c>
      <c r="H36" s="73" t="s">
        <v>14</v>
      </c>
      <c r="I36" s="48">
        <v>3500</v>
      </c>
      <c r="J36" s="48">
        <v>3500</v>
      </c>
      <c r="K36" s="82">
        <v>7.1</v>
      </c>
      <c r="L36" s="82">
        <v>1.1000000000000001</v>
      </c>
      <c r="M36" s="82">
        <v>1.5</v>
      </c>
      <c r="N36" s="36" t="s">
        <v>711</v>
      </c>
    </row>
    <row r="37" spans="1:14" s="8" customFormat="1" ht="26.4" x14ac:dyDescent="0.25">
      <c r="A37" s="140" t="s">
        <v>1334</v>
      </c>
      <c r="B37" s="140" t="s">
        <v>611</v>
      </c>
      <c r="C37" s="34" t="s">
        <v>21</v>
      </c>
      <c r="D37" s="160" t="s">
        <v>639</v>
      </c>
      <c r="E37" s="35">
        <v>1</v>
      </c>
      <c r="F37" s="46" t="s">
        <v>1015</v>
      </c>
      <c r="G37" s="75">
        <v>1</v>
      </c>
      <c r="H37" s="73" t="s">
        <v>14</v>
      </c>
      <c r="I37" s="48">
        <v>5600</v>
      </c>
      <c r="J37" s="48">
        <v>5600</v>
      </c>
      <c r="K37" s="82">
        <v>7.75</v>
      </c>
      <c r="L37" s="82">
        <v>1.3</v>
      </c>
      <c r="M37" s="82">
        <v>1.6</v>
      </c>
      <c r="N37" s="36" t="s">
        <v>711</v>
      </c>
    </row>
    <row r="38" spans="1:14" s="8" customFormat="1" ht="20.399999999999999" x14ac:dyDescent="0.25">
      <c r="A38" s="140" t="s">
        <v>1334</v>
      </c>
      <c r="B38" s="140" t="s">
        <v>611</v>
      </c>
      <c r="C38" s="34" t="s">
        <v>21</v>
      </c>
      <c r="D38" s="160" t="s">
        <v>640</v>
      </c>
      <c r="E38" s="35">
        <v>1</v>
      </c>
      <c r="F38" s="46" t="s">
        <v>696</v>
      </c>
      <c r="G38" s="75">
        <v>1</v>
      </c>
      <c r="H38" s="73" t="s">
        <v>14</v>
      </c>
      <c r="I38" s="48">
        <v>728</v>
      </c>
      <c r="J38" s="48">
        <v>728</v>
      </c>
      <c r="K38" s="82">
        <v>3.62</v>
      </c>
      <c r="L38" s="82">
        <v>1.47</v>
      </c>
      <c r="M38" s="82">
        <v>1.54</v>
      </c>
      <c r="N38" s="36" t="s">
        <v>85</v>
      </c>
    </row>
    <row r="39" spans="1:14" s="8" customFormat="1" ht="26.4" x14ac:dyDescent="0.25">
      <c r="A39" s="140" t="s">
        <v>1334</v>
      </c>
      <c r="B39" s="140" t="s">
        <v>611</v>
      </c>
      <c r="C39" s="34" t="s">
        <v>21</v>
      </c>
      <c r="D39" s="160" t="s">
        <v>641</v>
      </c>
      <c r="E39" s="35">
        <v>1</v>
      </c>
      <c r="F39" s="46" t="s">
        <v>642</v>
      </c>
      <c r="G39" s="75">
        <v>1</v>
      </c>
      <c r="H39" s="73" t="s">
        <v>14</v>
      </c>
      <c r="I39" s="48">
        <v>2500</v>
      </c>
      <c r="J39" s="48">
        <v>2500</v>
      </c>
      <c r="K39" s="82">
        <v>7.06</v>
      </c>
      <c r="L39" s="82">
        <v>1.1000000000000001</v>
      </c>
      <c r="M39" s="82">
        <v>1.3</v>
      </c>
      <c r="N39" s="36" t="s">
        <v>711</v>
      </c>
    </row>
    <row r="40" spans="1:14" s="8" customFormat="1" ht="26.4" x14ac:dyDescent="0.25">
      <c r="A40" s="140" t="s">
        <v>1334</v>
      </c>
      <c r="B40" s="140" t="s">
        <v>611</v>
      </c>
      <c r="C40" s="34" t="s">
        <v>21</v>
      </c>
      <c r="D40" s="160" t="s">
        <v>643</v>
      </c>
      <c r="E40" s="35">
        <v>1</v>
      </c>
      <c r="F40" s="46" t="s">
        <v>697</v>
      </c>
      <c r="G40" s="75">
        <v>1</v>
      </c>
      <c r="H40" s="73" t="s">
        <v>14</v>
      </c>
      <c r="I40" s="48">
        <v>918</v>
      </c>
      <c r="J40" s="48">
        <v>918</v>
      </c>
      <c r="K40" s="82">
        <v>5.86</v>
      </c>
      <c r="L40" s="82">
        <v>0.8</v>
      </c>
      <c r="M40" s="82">
        <v>1.1000000000000001</v>
      </c>
      <c r="N40" s="36" t="s">
        <v>85</v>
      </c>
    </row>
    <row r="41" spans="1:14" s="8" customFormat="1" ht="40.799999999999997" x14ac:dyDescent="0.25">
      <c r="A41" s="140" t="s">
        <v>1337</v>
      </c>
      <c r="B41" s="140" t="s">
        <v>611</v>
      </c>
      <c r="C41" s="34" t="s">
        <v>704</v>
      </c>
      <c r="D41" s="160" t="s">
        <v>644</v>
      </c>
      <c r="E41" s="35">
        <v>1</v>
      </c>
      <c r="F41" s="46" t="s">
        <v>723</v>
      </c>
      <c r="G41" s="75">
        <v>1</v>
      </c>
      <c r="H41" s="73" t="s">
        <v>14</v>
      </c>
      <c r="I41" s="48">
        <v>73322</v>
      </c>
      <c r="J41" s="48">
        <v>73322</v>
      </c>
      <c r="K41" s="82">
        <v>17.420000000000002</v>
      </c>
      <c r="L41" s="82">
        <v>5.0599999999999996</v>
      </c>
      <c r="M41" s="82">
        <v>5.0599999999999996</v>
      </c>
      <c r="N41" s="36" t="s">
        <v>452</v>
      </c>
    </row>
    <row r="42" spans="1:14" s="8" customFormat="1" ht="20.399999999999999" x14ac:dyDescent="0.25">
      <c r="A42" s="140" t="s">
        <v>1338</v>
      </c>
      <c r="B42" s="140" t="s">
        <v>611</v>
      </c>
      <c r="C42" s="34" t="s">
        <v>21</v>
      </c>
      <c r="D42" s="160" t="s">
        <v>644</v>
      </c>
      <c r="E42" s="35">
        <v>1</v>
      </c>
      <c r="F42" s="46" t="s">
        <v>839</v>
      </c>
      <c r="G42" s="128">
        <v>1</v>
      </c>
      <c r="H42" s="129" t="s">
        <v>14</v>
      </c>
      <c r="I42" s="48">
        <v>1655</v>
      </c>
      <c r="J42" s="48">
        <v>1655</v>
      </c>
      <c r="K42" s="82">
        <v>5</v>
      </c>
      <c r="L42" s="82">
        <v>0.5</v>
      </c>
      <c r="M42" s="82">
        <v>1</v>
      </c>
      <c r="N42" s="36" t="s">
        <v>85</v>
      </c>
    </row>
    <row r="43" spans="1:14" s="8" customFormat="1" ht="26.4" x14ac:dyDescent="0.25">
      <c r="A43" s="140" t="s">
        <v>1334</v>
      </c>
      <c r="B43" s="140" t="s">
        <v>611</v>
      </c>
      <c r="C43" s="34" t="s">
        <v>21</v>
      </c>
      <c r="D43" s="162" t="s">
        <v>713</v>
      </c>
      <c r="E43" s="35">
        <v>1</v>
      </c>
      <c r="F43" s="46" t="s">
        <v>1016</v>
      </c>
      <c r="G43" s="75">
        <v>1</v>
      </c>
      <c r="H43" s="73" t="s">
        <v>14</v>
      </c>
      <c r="I43" s="48">
        <v>1140</v>
      </c>
      <c r="J43" s="48">
        <v>1140</v>
      </c>
      <c r="K43" s="82">
        <v>1.4</v>
      </c>
      <c r="L43" s="82">
        <v>0.94</v>
      </c>
      <c r="M43" s="82">
        <v>1.36</v>
      </c>
      <c r="N43" s="36" t="s">
        <v>712</v>
      </c>
    </row>
    <row r="44" spans="1:14" s="8" customFormat="1" ht="20.399999999999999" x14ac:dyDescent="0.25">
      <c r="A44" s="140" t="s">
        <v>1334</v>
      </c>
      <c r="B44" s="140" t="s">
        <v>611</v>
      </c>
      <c r="C44" s="34" t="s">
        <v>21</v>
      </c>
      <c r="D44" s="160" t="s">
        <v>645</v>
      </c>
      <c r="E44" s="35">
        <v>1</v>
      </c>
      <c r="F44" s="46" t="s">
        <v>646</v>
      </c>
      <c r="G44" s="75">
        <v>1</v>
      </c>
      <c r="H44" s="73" t="s">
        <v>14</v>
      </c>
      <c r="I44" s="48">
        <v>1313</v>
      </c>
      <c r="J44" s="48">
        <v>1313</v>
      </c>
      <c r="K44" s="82">
        <v>4.6500000000000004</v>
      </c>
      <c r="L44" s="82">
        <v>2.39</v>
      </c>
      <c r="M44" s="82">
        <v>2.65</v>
      </c>
      <c r="N44" s="36" t="s">
        <v>712</v>
      </c>
    </row>
    <row r="45" spans="1:14" s="8" customFormat="1" ht="20.399999999999999" x14ac:dyDescent="0.25">
      <c r="A45" s="140" t="s">
        <v>1336</v>
      </c>
      <c r="B45" s="140" t="s">
        <v>611</v>
      </c>
      <c r="C45" s="34" t="s">
        <v>21</v>
      </c>
      <c r="D45" s="162" t="s">
        <v>705</v>
      </c>
      <c r="E45" s="35">
        <v>1</v>
      </c>
      <c r="F45" s="161" t="s">
        <v>706</v>
      </c>
      <c r="G45" s="75">
        <v>1</v>
      </c>
      <c r="H45" s="73" t="s">
        <v>14</v>
      </c>
      <c r="I45" s="48">
        <v>250</v>
      </c>
      <c r="J45" s="48">
        <v>250</v>
      </c>
      <c r="K45" s="82">
        <v>1.32</v>
      </c>
      <c r="L45" s="82">
        <v>0.4</v>
      </c>
      <c r="M45" s="82">
        <v>0.77</v>
      </c>
      <c r="N45" s="36" t="s">
        <v>711</v>
      </c>
    </row>
    <row r="46" spans="1:14" s="8" customFormat="1" ht="20.399999999999999" x14ac:dyDescent="0.25">
      <c r="A46" s="140" t="s">
        <v>1336</v>
      </c>
      <c r="B46" s="140" t="s">
        <v>611</v>
      </c>
      <c r="C46" s="34" t="s">
        <v>21</v>
      </c>
      <c r="D46" s="162" t="s">
        <v>707</v>
      </c>
      <c r="E46" s="35">
        <v>1</v>
      </c>
      <c r="F46" s="161" t="s">
        <v>708</v>
      </c>
      <c r="G46" s="75">
        <v>1</v>
      </c>
      <c r="H46" s="73" t="s">
        <v>14</v>
      </c>
      <c r="I46" s="48">
        <v>250</v>
      </c>
      <c r="J46" s="48">
        <v>250</v>
      </c>
      <c r="K46" s="82">
        <v>1.32</v>
      </c>
      <c r="L46" s="82">
        <v>0.4</v>
      </c>
      <c r="M46" s="82">
        <v>0.77</v>
      </c>
      <c r="N46" s="36" t="s">
        <v>711</v>
      </c>
    </row>
    <row r="47" spans="1:14" s="8" customFormat="1" ht="20.399999999999999" x14ac:dyDescent="0.25">
      <c r="A47" s="140" t="s">
        <v>1336</v>
      </c>
      <c r="B47" s="140" t="s">
        <v>611</v>
      </c>
      <c r="C47" s="34" t="s">
        <v>21</v>
      </c>
      <c r="D47" s="162" t="s">
        <v>709</v>
      </c>
      <c r="E47" s="35">
        <v>1</v>
      </c>
      <c r="F47" s="161" t="s">
        <v>710</v>
      </c>
      <c r="G47" s="75">
        <v>1</v>
      </c>
      <c r="H47" s="73" t="s">
        <v>14</v>
      </c>
      <c r="I47" s="48">
        <v>250</v>
      </c>
      <c r="J47" s="48">
        <v>250</v>
      </c>
      <c r="K47" s="82">
        <v>1.32</v>
      </c>
      <c r="L47" s="82">
        <v>0.4</v>
      </c>
      <c r="M47" s="82">
        <v>0.77</v>
      </c>
      <c r="N47" s="36" t="s">
        <v>711</v>
      </c>
    </row>
    <row r="48" spans="1:14" s="8" customFormat="1" ht="22.8" x14ac:dyDescent="0.25">
      <c r="A48" s="140" t="s">
        <v>1339</v>
      </c>
      <c r="B48" s="140" t="s">
        <v>611</v>
      </c>
      <c r="C48" s="159" t="s">
        <v>21</v>
      </c>
      <c r="D48" s="160" t="s">
        <v>644</v>
      </c>
      <c r="E48" s="35">
        <v>1</v>
      </c>
      <c r="F48" s="161" t="s">
        <v>688</v>
      </c>
      <c r="G48" s="75">
        <v>10</v>
      </c>
      <c r="H48" s="73" t="s">
        <v>14</v>
      </c>
      <c r="I48" s="48">
        <v>4900</v>
      </c>
      <c r="J48" s="48">
        <v>4900</v>
      </c>
      <c r="K48" s="82"/>
      <c r="L48" s="82"/>
      <c r="M48" s="82"/>
      <c r="N48" s="36" t="s">
        <v>692</v>
      </c>
    </row>
    <row r="49" spans="1:14" s="8" customFormat="1" ht="22.8" x14ac:dyDescent="0.25">
      <c r="A49" s="140" t="s">
        <v>1339</v>
      </c>
      <c r="B49" s="140" t="s">
        <v>611</v>
      </c>
      <c r="C49" s="159" t="s">
        <v>21</v>
      </c>
      <c r="D49" s="160" t="s">
        <v>644</v>
      </c>
      <c r="E49" s="35">
        <v>1</v>
      </c>
      <c r="F49" s="161" t="s">
        <v>689</v>
      </c>
      <c r="G49" s="75">
        <v>4</v>
      </c>
      <c r="H49" s="73" t="s">
        <v>14</v>
      </c>
      <c r="I49" s="48">
        <v>2628</v>
      </c>
      <c r="J49" s="48">
        <v>2628</v>
      </c>
      <c r="K49" s="82"/>
      <c r="L49" s="82"/>
      <c r="M49" s="82"/>
      <c r="N49" s="36" t="s">
        <v>692</v>
      </c>
    </row>
    <row r="50" spans="1:14" s="8" customFormat="1" ht="22.8" x14ac:dyDescent="0.25">
      <c r="A50" s="140" t="s">
        <v>1339</v>
      </c>
      <c r="B50" s="140" t="s">
        <v>611</v>
      </c>
      <c r="C50" s="159" t="s">
        <v>21</v>
      </c>
      <c r="D50" s="160" t="s">
        <v>644</v>
      </c>
      <c r="E50" s="35">
        <v>1</v>
      </c>
      <c r="F50" s="161" t="s">
        <v>690</v>
      </c>
      <c r="G50" s="75">
        <v>4</v>
      </c>
      <c r="H50" s="73" t="s">
        <v>14</v>
      </c>
      <c r="I50" s="48">
        <v>2120</v>
      </c>
      <c r="J50" s="48">
        <v>2120</v>
      </c>
      <c r="K50" s="82"/>
      <c r="L50" s="82"/>
      <c r="M50" s="82"/>
      <c r="N50" s="36" t="s">
        <v>692</v>
      </c>
    </row>
    <row r="51" spans="1:14" s="8" customFormat="1" ht="22.8" x14ac:dyDescent="0.25">
      <c r="A51" s="140" t="s">
        <v>1340</v>
      </c>
      <c r="B51" s="140" t="s">
        <v>611</v>
      </c>
      <c r="C51" s="159" t="s">
        <v>21</v>
      </c>
      <c r="D51" s="160" t="s">
        <v>644</v>
      </c>
      <c r="E51" s="35">
        <v>1</v>
      </c>
      <c r="F51" s="161" t="s">
        <v>691</v>
      </c>
      <c r="G51" s="75">
        <v>3</v>
      </c>
      <c r="H51" s="73" t="s">
        <v>14</v>
      </c>
      <c r="I51" s="48">
        <v>9784</v>
      </c>
      <c r="J51" s="48">
        <v>9784</v>
      </c>
      <c r="K51" s="82"/>
      <c r="L51" s="82"/>
      <c r="M51" s="82"/>
      <c r="N51" s="36" t="s">
        <v>692</v>
      </c>
    </row>
    <row r="52" spans="1:14" s="8" customFormat="1" ht="20.399999999999999" x14ac:dyDescent="0.25">
      <c r="A52" s="140" t="s">
        <v>1336</v>
      </c>
      <c r="B52" s="140" t="s">
        <v>611</v>
      </c>
      <c r="C52" s="34" t="s">
        <v>21</v>
      </c>
      <c r="D52" s="160" t="s">
        <v>644</v>
      </c>
      <c r="E52" s="35">
        <v>1</v>
      </c>
      <c r="F52" s="161" t="s">
        <v>718</v>
      </c>
      <c r="G52" s="128">
        <v>1</v>
      </c>
      <c r="H52" s="129" t="s">
        <v>14</v>
      </c>
      <c r="I52" s="48">
        <v>195</v>
      </c>
      <c r="J52" s="48">
        <v>195</v>
      </c>
      <c r="K52" s="82">
        <v>1.9</v>
      </c>
      <c r="L52" s="82">
        <v>0.41</v>
      </c>
      <c r="M52" s="82">
        <v>0.32</v>
      </c>
      <c r="N52" s="36" t="s">
        <v>85</v>
      </c>
    </row>
    <row r="53" spans="1:14" s="8" customFormat="1" ht="20.399999999999999" x14ac:dyDescent="0.25">
      <c r="A53" s="140" t="s">
        <v>1336</v>
      </c>
      <c r="B53" s="140" t="s">
        <v>611</v>
      </c>
      <c r="C53" s="34" t="s">
        <v>21</v>
      </c>
      <c r="D53" s="160" t="s">
        <v>644</v>
      </c>
      <c r="E53" s="35">
        <v>1</v>
      </c>
      <c r="F53" s="161" t="s">
        <v>729</v>
      </c>
      <c r="G53" s="128">
        <v>1</v>
      </c>
      <c r="H53" s="129" t="s">
        <v>14</v>
      </c>
      <c r="I53" s="48">
        <v>1070</v>
      </c>
      <c r="J53" s="48">
        <v>1070</v>
      </c>
      <c r="K53" s="82">
        <v>1.4</v>
      </c>
      <c r="L53" s="82">
        <v>0.9</v>
      </c>
      <c r="M53" s="82">
        <v>0.9</v>
      </c>
      <c r="N53" s="36" t="s">
        <v>85</v>
      </c>
    </row>
    <row r="54" spans="1:14" s="8" customFormat="1" ht="20.399999999999999" x14ac:dyDescent="0.25">
      <c r="A54" s="140" t="s">
        <v>1336</v>
      </c>
      <c r="B54" s="140" t="s">
        <v>611</v>
      </c>
      <c r="C54" s="34" t="s">
        <v>18</v>
      </c>
      <c r="D54" s="160" t="s">
        <v>644</v>
      </c>
      <c r="E54" s="35">
        <v>1</v>
      </c>
      <c r="F54" s="161" t="s">
        <v>720</v>
      </c>
      <c r="G54" s="128">
        <v>3</v>
      </c>
      <c r="H54" s="129" t="s">
        <v>14</v>
      </c>
      <c r="I54" s="48">
        <v>465</v>
      </c>
      <c r="J54" s="48">
        <v>485</v>
      </c>
      <c r="K54" s="82">
        <v>1.1000000000000001</v>
      </c>
      <c r="L54" s="82">
        <v>1</v>
      </c>
      <c r="M54" s="82">
        <v>0.5</v>
      </c>
      <c r="N54" s="36" t="s">
        <v>85</v>
      </c>
    </row>
    <row r="55" spans="1:14" s="8" customFormat="1" ht="20.399999999999999" x14ac:dyDescent="0.25">
      <c r="A55" s="140" t="s">
        <v>1336</v>
      </c>
      <c r="B55" s="140" t="s">
        <v>611</v>
      </c>
      <c r="C55" s="34" t="s">
        <v>18</v>
      </c>
      <c r="D55" s="160" t="s">
        <v>644</v>
      </c>
      <c r="E55" s="35">
        <v>1</v>
      </c>
      <c r="F55" s="161" t="s">
        <v>719</v>
      </c>
      <c r="G55" s="128">
        <v>1</v>
      </c>
      <c r="H55" s="129" t="s">
        <v>14</v>
      </c>
      <c r="I55" s="48">
        <v>400</v>
      </c>
      <c r="J55" s="48">
        <v>420</v>
      </c>
      <c r="K55" s="82">
        <v>0.93</v>
      </c>
      <c r="L55" s="82">
        <v>0.92</v>
      </c>
      <c r="M55" s="82">
        <v>0.46</v>
      </c>
      <c r="N55" s="36" t="s">
        <v>85</v>
      </c>
    </row>
    <row r="56" spans="1:14" s="8" customFormat="1" ht="20.399999999999999" x14ac:dyDescent="0.25">
      <c r="A56" s="140" t="s">
        <v>1336</v>
      </c>
      <c r="B56" s="140" t="s">
        <v>611</v>
      </c>
      <c r="C56" s="34" t="s">
        <v>18</v>
      </c>
      <c r="D56" s="162" t="s">
        <v>724</v>
      </c>
      <c r="E56" s="33">
        <v>1</v>
      </c>
      <c r="F56" s="46" t="s">
        <v>1017</v>
      </c>
      <c r="G56" s="128">
        <v>1</v>
      </c>
      <c r="H56" s="129" t="s">
        <v>14</v>
      </c>
      <c r="I56" s="48">
        <v>1070</v>
      </c>
      <c r="J56" s="48">
        <v>1090</v>
      </c>
      <c r="K56" s="82">
        <v>1.2</v>
      </c>
      <c r="L56" s="82">
        <v>1.2</v>
      </c>
      <c r="M56" s="82">
        <v>0.7</v>
      </c>
      <c r="N56" s="36" t="s">
        <v>85</v>
      </c>
    </row>
    <row r="57" spans="1:14" s="8" customFormat="1" ht="20.399999999999999" x14ac:dyDescent="0.25">
      <c r="A57" s="140" t="s">
        <v>1336</v>
      </c>
      <c r="B57" s="140" t="s">
        <v>611</v>
      </c>
      <c r="C57" s="34" t="s">
        <v>18</v>
      </c>
      <c r="D57" s="162" t="s">
        <v>724</v>
      </c>
      <c r="E57" s="33">
        <v>1</v>
      </c>
      <c r="F57" s="46" t="s">
        <v>1017</v>
      </c>
      <c r="G57" s="128">
        <v>1</v>
      </c>
      <c r="H57" s="129" t="s">
        <v>14</v>
      </c>
      <c r="I57" s="48">
        <v>1050</v>
      </c>
      <c r="J57" s="48">
        <v>1070</v>
      </c>
      <c r="K57" s="82">
        <v>1.2</v>
      </c>
      <c r="L57" s="82">
        <v>1.2</v>
      </c>
      <c r="M57" s="82">
        <v>0.7</v>
      </c>
      <c r="N57" s="36" t="s">
        <v>85</v>
      </c>
    </row>
    <row r="58" spans="1:14" s="8" customFormat="1" ht="26.4" x14ac:dyDescent="0.25">
      <c r="A58" s="140" t="s">
        <v>1336</v>
      </c>
      <c r="B58" s="140" t="s">
        <v>611</v>
      </c>
      <c r="C58" s="34" t="s">
        <v>21</v>
      </c>
      <c r="D58" s="160" t="s">
        <v>728</v>
      </c>
      <c r="E58" s="33">
        <v>1</v>
      </c>
      <c r="F58" s="46" t="s">
        <v>1018</v>
      </c>
      <c r="G58" s="128">
        <v>1</v>
      </c>
      <c r="H58" s="129" t="s">
        <v>14</v>
      </c>
      <c r="I58" s="48">
        <v>11453</v>
      </c>
      <c r="J58" s="48">
        <v>11453</v>
      </c>
      <c r="K58" s="82">
        <v>4.55</v>
      </c>
      <c r="L58" s="82">
        <v>1.53</v>
      </c>
      <c r="M58" s="82">
        <v>2.52</v>
      </c>
      <c r="N58" s="36" t="s">
        <v>452</v>
      </c>
    </row>
    <row r="59" spans="1:14" s="8" customFormat="1" ht="26.4" x14ac:dyDescent="0.25">
      <c r="A59" s="140" t="s">
        <v>1334</v>
      </c>
      <c r="B59" s="140" t="s">
        <v>611</v>
      </c>
      <c r="C59" s="34" t="s">
        <v>21</v>
      </c>
      <c r="D59" s="160" t="s">
        <v>647</v>
      </c>
      <c r="E59" s="35">
        <v>1</v>
      </c>
      <c r="F59" s="46" t="s">
        <v>741</v>
      </c>
      <c r="G59" s="75">
        <v>2</v>
      </c>
      <c r="H59" s="73" t="s">
        <v>14</v>
      </c>
      <c r="I59" s="48">
        <v>1410</v>
      </c>
      <c r="J59" s="48">
        <v>1410</v>
      </c>
      <c r="K59" s="82">
        <v>11.31</v>
      </c>
      <c r="L59" s="82">
        <v>1.5</v>
      </c>
      <c r="M59" s="82">
        <v>1.38</v>
      </c>
      <c r="N59" s="36" t="s">
        <v>85</v>
      </c>
    </row>
    <row r="60" spans="1:14" s="8" customFormat="1" ht="20.399999999999999" x14ac:dyDescent="0.25">
      <c r="A60" s="140" t="s">
        <v>1334</v>
      </c>
      <c r="B60" s="140" t="s">
        <v>611</v>
      </c>
      <c r="C60" s="34" t="s">
        <v>21</v>
      </c>
      <c r="D60" s="160" t="s">
        <v>648</v>
      </c>
      <c r="E60" s="35">
        <v>1</v>
      </c>
      <c r="F60" s="46" t="s">
        <v>742</v>
      </c>
      <c r="G60" s="75">
        <v>1</v>
      </c>
      <c r="H60" s="73" t="s">
        <v>14</v>
      </c>
      <c r="I60" s="48">
        <v>970</v>
      </c>
      <c r="J60" s="48">
        <v>970</v>
      </c>
      <c r="K60" s="82">
        <v>9.0500000000000007</v>
      </c>
      <c r="L60" s="82">
        <v>1.5</v>
      </c>
      <c r="M60" s="82">
        <v>1.5</v>
      </c>
      <c r="N60" s="36" t="s">
        <v>85</v>
      </c>
    </row>
    <row r="61" spans="1:14" s="8" customFormat="1" ht="20.399999999999999" x14ac:dyDescent="0.25">
      <c r="A61" s="140" t="s">
        <v>1334</v>
      </c>
      <c r="B61" s="140" t="s">
        <v>611</v>
      </c>
      <c r="C61" s="34" t="s">
        <v>21</v>
      </c>
      <c r="D61" s="160" t="s">
        <v>649</v>
      </c>
      <c r="E61" s="35">
        <v>1</v>
      </c>
      <c r="F61" s="46" t="s">
        <v>743</v>
      </c>
      <c r="G61" s="75">
        <v>1</v>
      </c>
      <c r="H61" s="73" t="s">
        <v>14</v>
      </c>
      <c r="I61" s="48">
        <v>620</v>
      </c>
      <c r="J61" s="48">
        <v>620</v>
      </c>
      <c r="K61" s="82">
        <v>7.79</v>
      </c>
      <c r="L61" s="82">
        <v>1.34</v>
      </c>
      <c r="M61" s="82">
        <v>0.9</v>
      </c>
      <c r="N61" s="36" t="s">
        <v>85</v>
      </c>
    </row>
    <row r="62" spans="1:14" s="8" customFormat="1" ht="26.4" x14ac:dyDescent="0.25">
      <c r="A62" s="140" t="s">
        <v>1334</v>
      </c>
      <c r="B62" s="140" t="s">
        <v>611</v>
      </c>
      <c r="C62" s="34" t="s">
        <v>21</v>
      </c>
      <c r="D62" s="160" t="s">
        <v>650</v>
      </c>
      <c r="E62" s="35">
        <v>1</v>
      </c>
      <c r="F62" s="46" t="s">
        <v>698</v>
      </c>
      <c r="G62" s="75">
        <v>1</v>
      </c>
      <c r="H62" s="73" t="s">
        <v>14</v>
      </c>
      <c r="I62" s="48">
        <v>534</v>
      </c>
      <c r="J62" s="48">
        <v>534</v>
      </c>
      <c r="K62" s="82">
        <v>5.43</v>
      </c>
      <c r="L62" s="82">
        <v>1.38</v>
      </c>
      <c r="M62" s="82">
        <v>1.1399999999999999</v>
      </c>
      <c r="N62" s="36" t="s">
        <v>85</v>
      </c>
    </row>
    <row r="63" spans="1:14" s="8" customFormat="1" ht="91.8" x14ac:dyDescent="0.25">
      <c r="A63" s="140" t="s">
        <v>1334</v>
      </c>
      <c r="B63" s="140" t="s">
        <v>611</v>
      </c>
      <c r="C63" s="34" t="s">
        <v>18</v>
      </c>
      <c r="D63" s="141" t="s">
        <v>745</v>
      </c>
      <c r="E63" s="35">
        <v>1</v>
      </c>
      <c r="F63" s="164" t="s">
        <v>746</v>
      </c>
      <c r="G63" s="75">
        <v>76</v>
      </c>
      <c r="H63" s="129" t="s">
        <v>14</v>
      </c>
      <c r="I63" s="48">
        <v>465</v>
      </c>
      <c r="J63" s="48">
        <v>475</v>
      </c>
      <c r="K63" s="82">
        <v>1.3</v>
      </c>
      <c r="L63" s="82">
        <v>0.85</v>
      </c>
      <c r="M63" s="82">
        <v>0.52</v>
      </c>
      <c r="N63" s="36" t="s">
        <v>85</v>
      </c>
    </row>
    <row r="64" spans="1:14" s="9" customFormat="1" ht="26.4" x14ac:dyDescent="0.25">
      <c r="A64" s="140" t="s">
        <v>1341</v>
      </c>
      <c r="B64" s="140" t="s">
        <v>611</v>
      </c>
      <c r="C64" s="34" t="s">
        <v>18</v>
      </c>
      <c r="D64" s="35" t="s">
        <v>687</v>
      </c>
      <c r="E64" s="35">
        <v>1</v>
      </c>
      <c r="F64" s="46" t="s">
        <v>717</v>
      </c>
      <c r="G64" s="128">
        <v>3</v>
      </c>
      <c r="H64" s="76" t="s">
        <v>14</v>
      </c>
      <c r="I64" s="51">
        <v>375</v>
      </c>
      <c r="J64" s="51">
        <v>400</v>
      </c>
      <c r="K64" s="82">
        <v>1.95</v>
      </c>
      <c r="L64" s="82">
        <v>1.1000000000000001</v>
      </c>
      <c r="M64" s="82">
        <v>0.95</v>
      </c>
      <c r="N64" s="36" t="s">
        <v>85</v>
      </c>
    </row>
    <row r="65" spans="1:14" s="9" customFormat="1" ht="26.4" x14ac:dyDescent="0.25">
      <c r="A65" s="140" t="s">
        <v>1341</v>
      </c>
      <c r="B65" s="140" t="s">
        <v>611</v>
      </c>
      <c r="C65" s="34" t="s">
        <v>21</v>
      </c>
      <c r="D65" s="140" t="s">
        <v>686</v>
      </c>
      <c r="E65" s="35">
        <v>1</v>
      </c>
      <c r="F65" s="46" t="s">
        <v>716</v>
      </c>
      <c r="G65" s="128">
        <v>1</v>
      </c>
      <c r="H65" s="76" t="s">
        <v>14</v>
      </c>
      <c r="I65" s="51">
        <v>315</v>
      </c>
      <c r="J65" s="51">
        <v>315</v>
      </c>
      <c r="K65" s="82">
        <v>1.95</v>
      </c>
      <c r="L65" s="82">
        <v>1.1499999999999999</v>
      </c>
      <c r="M65" s="82">
        <v>0.9</v>
      </c>
      <c r="N65" s="36" t="s">
        <v>85</v>
      </c>
    </row>
    <row r="66" spans="1:14" ht="20.399999999999999" x14ac:dyDescent="0.25">
      <c r="A66" s="140" t="s">
        <v>1333</v>
      </c>
      <c r="B66" s="140" t="s">
        <v>611</v>
      </c>
      <c r="C66" s="34" t="s">
        <v>704</v>
      </c>
      <c r="D66" s="140" t="s">
        <v>734</v>
      </c>
      <c r="E66" s="35">
        <v>1</v>
      </c>
      <c r="F66" s="161" t="s">
        <v>735</v>
      </c>
      <c r="G66" s="75">
        <v>1</v>
      </c>
      <c r="H66" s="73" t="s">
        <v>14</v>
      </c>
      <c r="I66" s="51">
        <v>12600</v>
      </c>
      <c r="J66" s="48">
        <v>12600</v>
      </c>
      <c r="K66" s="82">
        <v>12.3</v>
      </c>
      <c r="L66" s="82">
        <v>3.1</v>
      </c>
      <c r="M66" s="82">
        <v>4.1500000000000004</v>
      </c>
      <c r="N66" s="36" t="s">
        <v>711</v>
      </c>
    </row>
    <row r="67" spans="1:14" ht="20.399999999999999" x14ac:dyDescent="0.25">
      <c r="A67" s="140" t="s">
        <v>1333</v>
      </c>
      <c r="B67" s="140" t="s">
        <v>611</v>
      </c>
      <c r="C67" s="34" t="s">
        <v>704</v>
      </c>
      <c r="D67" s="140" t="s">
        <v>736</v>
      </c>
      <c r="E67" s="35">
        <v>1</v>
      </c>
      <c r="F67" s="161" t="s">
        <v>735</v>
      </c>
      <c r="G67" s="75">
        <v>1</v>
      </c>
      <c r="H67" s="73" t="s">
        <v>14</v>
      </c>
      <c r="I67" s="51">
        <v>12620</v>
      </c>
      <c r="J67" s="48">
        <v>12620</v>
      </c>
      <c r="K67" s="82">
        <v>12.3</v>
      </c>
      <c r="L67" s="82">
        <v>3.1</v>
      </c>
      <c r="M67" s="82">
        <v>4.1500000000000004</v>
      </c>
      <c r="N67" s="36" t="s">
        <v>711</v>
      </c>
    </row>
    <row r="68" spans="1:14" ht="20.399999999999999" x14ac:dyDescent="0.25">
      <c r="A68" s="140" t="s">
        <v>1333</v>
      </c>
      <c r="B68" s="140" t="s">
        <v>611</v>
      </c>
      <c r="C68" s="34" t="s">
        <v>704</v>
      </c>
      <c r="D68" s="140" t="s">
        <v>737</v>
      </c>
      <c r="E68" s="35">
        <v>1</v>
      </c>
      <c r="F68" s="161" t="s">
        <v>735</v>
      </c>
      <c r="G68" s="75">
        <v>1</v>
      </c>
      <c r="H68" s="73" t="s">
        <v>14</v>
      </c>
      <c r="I68" s="51">
        <v>12640</v>
      </c>
      <c r="J68" s="48">
        <v>12640</v>
      </c>
      <c r="K68" s="82">
        <v>12.3</v>
      </c>
      <c r="L68" s="82">
        <v>3.1</v>
      </c>
      <c r="M68" s="82">
        <v>4.1500000000000004</v>
      </c>
      <c r="N68" s="36" t="s">
        <v>711</v>
      </c>
    </row>
    <row r="69" spans="1:14" ht="20.399999999999999" x14ac:dyDescent="0.25">
      <c r="A69" s="140" t="s">
        <v>1334</v>
      </c>
      <c r="B69" s="140" t="s">
        <v>611</v>
      </c>
      <c r="C69" s="34" t="s">
        <v>21</v>
      </c>
      <c r="D69" s="35" t="s">
        <v>738</v>
      </c>
      <c r="E69" s="35">
        <v>1</v>
      </c>
      <c r="F69" s="161" t="s">
        <v>37</v>
      </c>
      <c r="G69" s="75">
        <v>1</v>
      </c>
      <c r="H69" s="73" t="s">
        <v>14</v>
      </c>
      <c r="I69" s="48">
        <v>1500</v>
      </c>
      <c r="J69" s="48">
        <v>1500</v>
      </c>
      <c r="K69" s="82">
        <v>6.87</v>
      </c>
      <c r="L69" s="82">
        <v>2.4</v>
      </c>
      <c r="M69" s="82">
        <v>2.2200000000000002</v>
      </c>
      <c r="N69" s="36" t="s">
        <v>711</v>
      </c>
    </row>
    <row r="70" spans="1:14" ht="20.399999999999999" x14ac:dyDescent="0.25">
      <c r="A70" s="140" t="s">
        <v>1334</v>
      </c>
      <c r="B70" s="140" t="s">
        <v>611</v>
      </c>
      <c r="C70" s="34" t="s">
        <v>21</v>
      </c>
      <c r="D70" s="35" t="s">
        <v>739</v>
      </c>
      <c r="E70" s="35">
        <v>1</v>
      </c>
      <c r="F70" s="161" t="s">
        <v>37</v>
      </c>
      <c r="G70" s="75">
        <v>1</v>
      </c>
      <c r="H70" s="73" t="s">
        <v>14</v>
      </c>
      <c r="I70" s="48">
        <v>1500</v>
      </c>
      <c r="J70" s="48">
        <v>1500</v>
      </c>
      <c r="K70" s="82">
        <v>6.87</v>
      </c>
      <c r="L70" s="82">
        <v>2.4</v>
      </c>
      <c r="M70" s="82">
        <v>2.2200000000000002</v>
      </c>
      <c r="N70" s="36" t="s">
        <v>711</v>
      </c>
    </row>
    <row r="71" spans="1:14" ht="20.399999999999999" x14ac:dyDescent="0.25">
      <c r="A71" s="140" t="s">
        <v>1334</v>
      </c>
      <c r="B71" s="140" t="s">
        <v>611</v>
      </c>
      <c r="C71" s="34" t="s">
        <v>21</v>
      </c>
      <c r="D71" s="35" t="s">
        <v>740</v>
      </c>
      <c r="E71" s="35">
        <v>1</v>
      </c>
      <c r="F71" s="161" t="s">
        <v>39</v>
      </c>
      <c r="G71" s="75">
        <v>1</v>
      </c>
      <c r="H71" s="73" t="s">
        <v>14</v>
      </c>
      <c r="I71" s="48">
        <v>1500</v>
      </c>
      <c r="J71" s="48">
        <v>1500</v>
      </c>
      <c r="K71" s="82">
        <v>6.87</v>
      </c>
      <c r="L71" s="82">
        <v>2.4</v>
      </c>
      <c r="M71" s="82">
        <v>2.2200000000000002</v>
      </c>
      <c r="N71" s="36" t="s">
        <v>711</v>
      </c>
    </row>
    <row r="72" spans="1:14" ht="14.25" customHeight="1" x14ac:dyDescent="0.25">
      <c r="A72" s="5"/>
      <c r="B72" s="174"/>
      <c r="C72" s="174"/>
      <c r="D72" s="174"/>
      <c r="E72" s="174"/>
      <c r="F72" s="174"/>
      <c r="G72" s="69"/>
      <c r="H72" s="69"/>
      <c r="I72" s="26"/>
      <c r="J72" s="26"/>
      <c r="K72" s="5"/>
      <c r="L72" s="5"/>
      <c r="M72" s="5"/>
    </row>
    <row r="73" spans="1:14" ht="13.8" x14ac:dyDescent="0.25">
      <c r="B73" s="5"/>
      <c r="C73" s="5"/>
      <c r="D73" s="5"/>
      <c r="E73" s="5"/>
      <c r="F73" s="5"/>
      <c r="G73" s="69"/>
      <c r="H73" s="69"/>
      <c r="I73" s="18"/>
      <c r="J73" s="18"/>
    </row>
    <row r="74" spans="1:14" x14ac:dyDescent="0.25">
      <c r="F74" s="1"/>
      <c r="G74" s="1"/>
      <c r="H74" s="1"/>
      <c r="J74" s="18"/>
    </row>
    <row r="75" spans="1:14" ht="15.6" x14ac:dyDescent="0.3">
      <c r="B75" s="27"/>
      <c r="C75" s="27"/>
      <c r="F75" s="1"/>
      <c r="G75" s="1"/>
      <c r="H75" s="1"/>
      <c r="I75" s="18"/>
      <c r="J75" s="18"/>
    </row>
    <row r="76" spans="1:14" x14ac:dyDescent="0.25">
      <c r="F76" s="1"/>
      <c r="G76" s="1"/>
      <c r="H76" s="1"/>
      <c r="I76" s="18"/>
      <c r="J76" s="18"/>
    </row>
    <row r="77" spans="1:14" x14ac:dyDescent="0.25">
      <c r="F77" s="1"/>
      <c r="G77" s="1"/>
      <c r="H77" s="1"/>
      <c r="I77" s="18"/>
      <c r="J77" s="18"/>
    </row>
    <row r="78" spans="1:14" x14ac:dyDescent="0.25">
      <c r="F78" s="1"/>
      <c r="G78" s="1"/>
      <c r="H78" s="1"/>
      <c r="I78" s="18"/>
      <c r="J78" s="18"/>
    </row>
    <row r="79" spans="1:14" x14ac:dyDescent="0.25">
      <c r="F79" s="1"/>
      <c r="G79" s="1"/>
      <c r="H79" s="1"/>
      <c r="I79" s="18"/>
      <c r="J79" s="18"/>
    </row>
    <row r="80" spans="1:14" x14ac:dyDescent="0.25">
      <c r="F80" s="1"/>
      <c r="G80" s="1"/>
      <c r="H80" s="1"/>
      <c r="I80" s="18"/>
      <c r="J80" s="18"/>
    </row>
    <row r="81" spans="6:10" x14ac:dyDescent="0.25">
      <c r="F81" s="1"/>
      <c r="G81" s="1"/>
      <c r="H81" s="1"/>
      <c r="I81" s="18"/>
      <c r="J81" s="18"/>
    </row>
    <row r="82" spans="6:10" x14ac:dyDescent="0.25">
      <c r="F82" s="1"/>
      <c r="G82" s="1"/>
      <c r="H82" s="1"/>
      <c r="I82" s="18"/>
      <c r="J82" s="18"/>
    </row>
    <row r="83" spans="6:10" x14ac:dyDescent="0.25">
      <c r="F83" s="1"/>
      <c r="G83" s="1"/>
      <c r="H83" s="1"/>
      <c r="I83" s="18"/>
      <c r="J83" s="18"/>
    </row>
    <row r="84" spans="6:10" x14ac:dyDescent="0.25">
      <c r="F84" s="1"/>
      <c r="G84" s="1"/>
      <c r="H84" s="1"/>
      <c r="I84" s="18"/>
      <c r="J84" s="18"/>
    </row>
    <row r="85" spans="6:10" x14ac:dyDescent="0.25">
      <c r="F85" s="1"/>
      <c r="G85" s="1"/>
      <c r="H85" s="1"/>
      <c r="I85" s="18"/>
      <c r="J85" s="18"/>
    </row>
    <row r="86" spans="6:10" x14ac:dyDescent="0.25">
      <c r="F86" s="1"/>
      <c r="G86" s="1"/>
      <c r="H86" s="1"/>
      <c r="I86" s="18"/>
      <c r="J86" s="18"/>
    </row>
    <row r="87" spans="6:10" x14ac:dyDescent="0.25">
      <c r="F87" s="1"/>
      <c r="G87" s="1"/>
      <c r="H87" s="1"/>
      <c r="I87" s="18"/>
      <c r="J87" s="18"/>
    </row>
    <row r="88" spans="6:10" x14ac:dyDescent="0.25">
      <c r="F88" s="1"/>
      <c r="G88" s="1"/>
      <c r="H88" s="1"/>
      <c r="I88" s="18"/>
      <c r="J88" s="18"/>
    </row>
    <row r="89" spans="6:10" x14ac:dyDescent="0.25">
      <c r="F89" s="1"/>
      <c r="G89" s="1"/>
      <c r="H89" s="1"/>
      <c r="I89" s="18"/>
      <c r="J89" s="18"/>
    </row>
    <row r="90" spans="6:10" x14ac:dyDescent="0.25">
      <c r="F90" s="1"/>
      <c r="G90" s="1"/>
      <c r="H90" s="1"/>
      <c r="J90"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B71E-3124-4079-A86F-7E3DBF12DC4E}">
  <dimension ref="A1:T136"/>
  <sheetViews>
    <sheetView zoomScaleNormal="100" workbookViewId="0">
      <selection activeCell="K1" sqref="K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 min="15" max="15" width="14.33203125" customWidth="1"/>
    <col min="16" max="16" width="13.109375" customWidth="1"/>
    <col min="17" max="17" width="10.10937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ht="26.4" x14ac:dyDescent="0.25">
      <c r="A2" s="111" t="s">
        <v>1342</v>
      </c>
      <c r="B2" s="29" t="s">
        <v>1736</v>
      </c>
      <c r="C2" s="30" t="s">
        <v>21</v>
      </c>
      <c r="D2" s="29" t="s">
        <v>1740</v>
      </c>
      <c r="E2" s="29">
        <v>89</v>
      </c>
      <c r="F2" s="112" t="s">
        <v>915</v>
      </c>
      <c r="G2" s="155">
        <v>5</v>
      </c>
      <c r="H2" s="157" t="s">
        <v>14</v>
      </c>
      <c r="I2" s="115">
        <v>1420</v>
      </c>
      <c r="J2" s="59"/>
      <c r="K2" s="86"/>
      <c r="L2" s="86"/>
      <c r="M2" s="86"/>
      <c r="N2" s="98" t="s">
        <v>0</v>
      </c>
      <c r="O2" s="7"/>
      <c r="P2" s="7"/>
    </row>
    <row r="3" spans="1:16" ht="13.8" x14ac:dyDescent="0.25">
      <c r="A3" s="111" t="s">
        <v>1342</v>
      </c>
      <c r="B3" s="29" t="s">
        <v>1736</v>
      </c>
      <c r="C3" s="30" t="s">
        <v>21</v>
      </c>
      <c r="D3" s="29"/>
      <c r="E3" s="29"/>
      <c r="F3" s="112" t="s">
        <v>916</v>
      </c>
      <c r="G3" s="155">
        <v>1</v>
      </c>
      <c r="H3" s="157" t="s">
        <v>14</v>
      </c>
      <c r="I3" s="115">
        <v>3720</v>
      </c>
      <c r="J3" s="59"/>
      <c r="K3" s="86"/>
      <c r="L3" s="86"/>
      <c r="M3" s="86"/>
      <c r="N3" s="98" t="s">
        <v>1</v>
      </c>
      <c r="O3" s="7"/>
      <c r="P3" s="7"/>
    </row>
    <row r="4" spans="1:16" ht="13.8" x14ac:dyDescent="0.25">
      <c r="A4" s="111" t="s">
        <v>1342</v>
      </c>
      <c r="B4" s="29" t="s">
        <v>1736</v>
      </c>
      <c r="C4" s="30" t="s">
        <v>21</v>
      </c>
      <c r="D4" s="29" t="s">
        <v>42</v>
      </c>
      <c r="E4" s="29">
        <v>1</v>
      </c>
      <c r="F4" s="112" t="s">
        <v>43</v>
      </c>
      <c r="G4" s="155">
        <v>1</v>
      </c>
      <c r="H4" s="157" t="s">
        <v>14</v>
      </c>
      <c r="I4" s="113">
        <v>49440</v>
      </c>
      <c r="J4" s="90">
        <v>49440</v>
      </c>
      <c r="K4" s="101">
        <v>28.72</v>
      </c>
      <c r="L4" s="101">
        <v>4.7</v>
      </c>
      <c r="M4" s="101">
        <v>4.4260000000000002</v>
      </c>
      <c r="N4" s="98" t="s">
        <v>260</v>
      </c>
      <c r="O4" s="7"/>
      <c r="P4" s="7"/>
    </row>
    <row r="5" spans="1:16" ht="13.8" x14ac:dyDescent="0.25">
      <c r="A5" s="111" t="s">
        <v>1342</v>
      </c>
      <c r="B5" s="29" t="s">
        <v>1736</v>
      </c>
      <c r="C5" s="30" t="s">
        <v>21</v>
      </c>
      <c r="D5" s="29" t="s">
        <v>45</v>
      </c>
      <c r="E5" s="29">
        <v>89</v>
      </c>
      <c r="F5" s="112" t="s">
        <v>301</v>
      </c>
      <c r="G5" s="155">
        <v>89</v>
      </c>
      <c r="H5" s="157" t="s">
        <v>14</v>
      </c>
      <c r="I5" s="113">
        <v>25168</v>
      </c>
      <c r="J5" s="90">
        <v>25168</v>
      </c>
      <c r="K5" s="99">
        <v>27</v>
      </c>
      <c r="L5" s="99">
        <v>2.86</v>
      </c>
      <c r="M5" s="99">
        <v>2.4</v>
      </c>
      <c r="N5" s="98" t="s">
        <v>85</v>
      </c>
      <c r="O5" s="7"/>
      <c r="P5" s="7"/>
    </row>
    <row r="6" spans="1:16" ht="13.8" x14ac:dyDescent="0.25">
      <c r="A6" s="111" t="s">
        <v>1342</v>
      </c>
      <c r="B6" s="29" t="s">
        <v>1736</v>
      </c>
      <c r="C6" s="30" t="s">
        <v>18</v>
      </c>
      <c r="D6" s="29" t="s">
        <v>42</v>
      </c>
      <c r="E6" s="29">
        <v>1</v>
      </c>
      <c r="F6" s="112" t="s">
        <v>302</v>
      </c>
      <c r="G6" s="155">
        <v>9</v>
      </c>
      <c r="H6" s="157" t="s">
        <v>14</v>
      </c>
      <c r="I6" s="113">
        <v>2080</v>
      </c>
      <c r="J6" s="90">
        <v>2140</v>
      </c>
      <c r="K6" s="101">
        <v>2.9</v>
      </c>
      <c r="L6" s="101">
        <v>1.3</v>
      </c>
      <c r="M6" s="101">
        <v>0.55000000000000004</v>
      </c>
      <c r="N6" s="98" t="s">
        <v>349</v>
      </c>
      <c r="O6" s="7"/>
      <c r="P6" s="7"/>
    </row>
    <row r="7" spans="1:16" ht="13.8" x14ac:dyDescent="0.25">
      <c r="A7" s="111" t="s">
        <v>1342</v>
      </c>
      <c r="B7" s="29" t="s">
        <v>1736</v>
      </c>
      <c r="C7" s="30" t="s">
        <v>18</v>
      </c>
      <c r="D7" s="29" t="s">
        <v>42</v>
      </c>
      <c r="E7" s="29">
        <v>1</v>
      </c>
      <c r="F7" s="112" t="s">
        <v>303</v>
      </c>
      <c r="G7" s="155">
        <v>8</v>
      </c>
      <c r="H7" s="157" t="s">
        <v>14</v>
      </c>
      <c r="I7" s="113">
        <v>2080</v>
      </c>
      <c r="J7" s="90">
        <v>2140</v>
      </c>
      <c r="K7" s="101">
        <v>2.9</v>
      </c>
      <c r="L7" s="101">
        <v>1.3</v>
      </c>
      <c r="M7" s="101">
        <v>0.55000000000000004</v>
      </c>
      <c r="N7" s="98" t="s">
        <v>349</v>
      </c>
      <c r="O7" s="7"/>
      <c r="P7" s="7"/>
    </row>
    <row r="8" spans="1:16" ht="13.8" x14ac:dyDescent="0.25">
      <c r="A8" s="111" t="s">
        <v>1342</v>
      </c>
      <c r="B8" s="29" t="s">
        <v>1736</v>
      </c>
      <c r="C8" s="30" t="s">
        <v>18</v>
      </c>
      <c r="D8" s="29" t="s">
        <v>42</v>
      </c>
      <c r="E8" s="29">
        <v>1</v>
      </c>
      <c r="F8" s="112" t="s">
        <v>303</v>
      </c>
      <c r="G8" s="155">
        <v>8</v>
      </c>
      <c r="H8" s="157" t="s">
        <v>14</v>
      </c>
      <c r="I8" s="113">
        <v>2080</v>
      </c>
      <c r="J8" s="90">
        <v>2140</v>
      </c>
      <c r="K8" s="101">
        <v>2.9</v>
      </c>
      <c r="L8" s="101">
        <v>1.3</v>
      </c>
      <c r="M8" s="101">
        <v>0.55000000000000004</v>
      </c>
      <c r="N8" s="98" t="s">
        <v>349</v>
      </c>
      <c r="O8" s="7"/>
      <c r="P8" s="7"/>
    </row>
    <row r="9" spans="1:16" ht="13.8" x14ac:dyDescent="0.25">
      <c r="A9" s="111" t="s">
        <v>1342</v>
      </c>
      <c r="B9" s="29" t="s">
        <v>1736</v>
      </c>
      <c r="C9" s="30" t="s">
        <v>18</v>
      </c>
      <c r="D9" s="29" t="s">
        <v>42</v>
      </c>
      <c r="E9" s="29">
        <v>1</v>
      </c>
      <c r="F9" s="112" t="s">
        <v>303</v>
      </c>
      <c r="G9" s="155">
        <v>8</v>
      </c>
      <c r="H9" s="157" t="s">
        <v>14</v>
      </c>
      <c r="I9" s="113">
        <v>2080</v>
      </c>
      <c r="J9" s="90">
        <v>2140</v>
      </c>
      <c r="K9" s="101">
        <v>2.9</v>
      </c>
      <c r="L9" s="101">
        <v>1.3</v>
      </c>
      <c r="M9" s="101">
        <v>0.55000000000000004</v>
      </c>
      <c r="N9" s="98" t="s">
        <v>349</v>
      </c>
      <c r="O9" s="7"/>
      <c r="P9" s="7"/>
    </row>
    <row r="10" spans="1:16" ht="13.8" x14ac:dyDescent="0.25">
      <c r="A10" s="111" t="s">
        <v>1342</v>
      </c>
      <c r="B10" s="29" t="s">
        <v>1736</v>
      </c>
      <c r="C10" s="30" t="s">
        <v>19</v>
      </c>
      <c r="D10" s="107" t="s">
        <v>307</v>
      </c>
      <c r="E10" s="107">
        <v>1</v>
      </c>
      <c r="F10" s="104" t="s">
        <v>345</v>
      </c>
      <c r="G10" s="155">
        <v>2</v>
      </c>
      <c r="H10" s="157" t="s">
        <v>14</v>
      </c>
      <c r="I10" s="116">
        <v>300</v>
      </c>
      <c r="J10" s="108">
        <v>300</v>
      </c>
      <c r="K10" s="101">
        <v>2.88</v>
      </c>
      <c r="L10" s="101">
        <v>1.35</v>
      </c>
      <c r="M10" s="101">
        <v>0.11</v>
      </c>
      <c r="N10" s="98" t="s">
        <v>85</v>
      </c>
      <c r="O10" s="7"/>
      <c r="P10" s="7"/>
    </row>
    <row r="11" spans="1:16" ht="13.8" x14ac:dyDescent="0.25">
      <c r="A11" s="111" t="s">
        <v>1342</v>
      </c>
      <c r="B11" s="29" t="s">
        <v>1736</v>
      </c>
      <c r="C11" s="30" t="s">
        <v>21</v>
      </c>
      <c r="D11" s="29" t="s">
        <v>42</v>
      </c>
      <c r="E11" s="29">
        <v>1</v>
      </c>
      <c r="F11" s="112" t="s">
        <v>304</v>
      </c>
      <c r="G11" s="155">
        <v>1</v>
      </c>
      <c r="H11" s="157" t="s">
        <v>14</v>
      </c>
      <c r="I11" s="113">
        <v>2250</v>
      </c>
      <c r="J11" s="90">
        <v>2250</v>
      </c>
      <c r="K11" s="99">
        <v>4.83</v>
      </c>
      <c r="L11" s="99">
        <v>0.28999999999999998</v>
      </c>
      <c r="M11" s="99">
        <v>0.28999999999999998</v>
      </c>
      <c r="N11" s="98" t="s">
        <v>350</v>
      </c>
      <c r="O11" s="7"/>
      <c r="P11" s="7"/>
    </row>
    <row r="12" spans="1:16" ht="13.8" x14ac:dyDescent="0.25">
      <c r="A12" s="111" t="s">
        <v>1342</v>
      </c>
      <c r="B12" s="29" t="s">
        <v>1736</v>
      </c>
      <c r="C12" s="30" t="s">
        <v>21</v>
      </c>
      <c r="D12" s="29" t="s">
        <v>42</v>
      </c>
      <c r="E12" s="29">
        <v>1</v>
      </c>
      <c r="F12" s="112" t="s">
        <v>304</v>
      </c>
      <c r="G12" s="155">
        <v>1</v>
      </c>
      <c r="H12" s="157" t="s">
        <v>14</v>
      </c>
      <c r="I12" s="113">
        <v>2250</v>
      </c>
      <c r="J12" s="90">
        <v>2250</v>
      </c>
      <c r="K12" s="99">
        <v>4.83</v>
      </c>
      <c r="L12" s="99">
        <v>0.28999999999999998</v>
      </c>
      <c r="M12" s="99">
        <v>0.28999999999999998</v>
      </c>
      <c r="N12" s="98" t="s">
        <v>350</v>
      </c>
      <c r="O12" s="7"/>
      <c r="P12" s="7"/>
    </row>
    <row r="13" spans="1:16" ht="13.8" x14ac:dyDescent="0.25">
      <c r="A13" s="111" t="s">
        <v>1342</v>
      </c>
      <c r="B13" s="29" t="s">
        <v>1736</v>
      </c>
      <c r="C13" s="30" t="s">
        <v>18</v>
      </c>
      <c r="D13" s="29" t="s">
        <v>42</v>
      </c>
      <c r="E13" s="29">
        <v>1</v>
      </c>
      <c r="F13" s="112" t="s">
        <v>346</v>
      </c>
      <c r="G13" s="155">
        <v>1</v>
      </c>
      <c r="H13" s="157" t="s">
        <v>14</v>
      </c>
      <c r="I13" s="113">
        <v>600</v>
      </c>
      <c r="J13" s="90">
        <v>620</v>
      </c>
      <c r="K13" s="101">
        <v>1</v>
      </c>
      <c r="L13" s="101">
        <v>1</v>
      </c>
      <c r="M13" s="101">
        <v>0.5</v>
      </c>
      <c r="N13" s="98" t="s">
        <v>351</v>
      </c>
      <c r="O13" s="7"/>
      <c r="P13" s="7"/>
    </row>
    <row r="14" spans="1:16" ht="13.8" x14ac:dyDescent="0.25">
      <c r="A14" s="111" t="s">
        <v>1342</v>
      </c>
      <c r="B14" s="29" t="s">
        <v>1736</v>
      </c>
      <c r="C14" s="30" t="s">
        <v>18</v>
      </c>
      <c r="D14" s="29" t="s">
        <v>42</v>
      </c>
      <c r="E14" s="29">
        <v>1</v>
      </c>
      <c r="F14" s="112" t="s">
        <v>346</v>
      </c>
      <c r="G14" s="155">
        <v>1</v>
      </c>
      <c r="H14" s="157" t="s">
        <v>14</v>
      </c>
      <c r="I14" s="113">
        <v>600</v>
      </c>
      <c r="J14" s="90">
        <v>620</v>
      </c>
      <c r="K14" s="101">
        <v>1</v>
      </c>
      <c r="L14" s="101">
        <v>1</v>
      </c>
      <c r="M14" s="101">
        <v>0.5</v>
      </c>
      <c r="N14" s="98" t="s">
        <v>351</v>
      </c>
      <c r="O14" s="7"/>
      <c r="P14" s="7"/>
    </row>
    <row r="15" spans="1:16" ht="13.8" x14ac:dyDescent="0.25">
      <c r="A15" s="111" t="s">
        <v>1342</v>
      </c>
      <c r="B15" s="29" t="s">
        <v>1736</v>
      </c>
      <c r="C15" s="30" t="s">
        <v>18</v>
      </c>
      <c r="D15" s="29" t="s">
        <v>42</v>
      </c>
      <c r="E15" s="29">
        <v>1</v>
      </c>
      <c r="F15" s="112" t="s">
        <v>346</v>
      </c>
      <c r="G15" s="155">
        <v>1</v>
      </c>
      <c r="H15" s="157" t="s">
        <v>14</v>
      </c>
      <c r="I15" s="113">
        <v>600</v>
      </c>
      <c r="J15" s="90">
        <v>620</v>
      </c>
      <c r="K15" s="101">
        <v>1</v>
      </c>
      <c r="L15" s="101">
        <v>1</v>
      </c>
      <c r="M15" s="101">
        <v>0.5</v>
      </c>
      <c r="N15" s="98" t="s">
        <v>351</v>
      </c>
      <c r="O15" s="7"/>
      <c r="P15" s="7"/>
    </row>
    <row r="16" spans="1:16" ht="13.8" x14ac:dyDescent="0.25">
      <c r="A16" s="111" t="s">
        <v>1342</v>
      </c>
      <c r="B16" s="29" t="s">
        <v>1736</v>
      </c>
      <c r="C16" s="30" t="s">
        <v>18</v>
      </c>
      <c r="D16" s="29" t="s">
        <v>42</v>
      </c>
      <c r="E16" s="29">
        <v>1</v>
      </c>
      <c r="F16" s="112" t="s">
        <v>346</v>
      </c>
      <c r="G16" s="155">
        <v>1</v>
      </c>
      <c r="H16" s="157" t="s">
        <v>14</v>
      </c>
      <c r="I16" s="113">
        <v>600</v>
      </c>
      <c r="J16" s="90">
        <v>620</v>
      </c>
      <c r="K16" s="101">
        <v>1</v>
      </c>
      <c r="L16" s="101">
        <v>1</v>
      </c>
      <c r="M16" s="101">
        <v>0.5</v>
      </c>
      <c r="N16" s="98" t="s">
        <v>351</v>
      </c>
      <c r="O16" s="7"/>
      <c r="P16" s="7"/>
    </row>
    <row r="17" spans="1:16" ht="13.8" x14ac:dyDescent="0.25">
      <c r="A17" s="111" t="s">
        <v>1342</v>
      </c>
      <c r="B17" s="29" t="s">
        <v>1736</v>
      </c>
      <c r="C17" s="30" t="s">
        <v>18</v>
      </c>
      <c r="D17" s="29" t="s">
        <v>243</v>
      </c>
      <c r="E17" s="29">
        <v>1</v>
      </c>
      <c r="F17" s="112" t="s">
        <v>244</v>
      </c>
      <c r="G17" s="155">
        <v>1</v>
      </c>
      <c r="H17" s="157" t="s">
        <v>14</v>
      </c>
      <c r="I17" s="113">
        <v>660</v>
      </c>
      <c r="J17" s="90">
        <v>674</v>
      </c>
      <c r="K17" s="86">
        <v>1.2</v>
      </c>
      <c r="L17" s="86">
        <v>1</v>
      </c>
      <c r="M17" s="86">
        <v>1.1000000000000001</v>
      </c>
      <c r="N17" s="98" t="s">
        <v>349</v>
      </c>
      <c r="O17" s="7"/>
      <c r="P17" s="7"/>
    </row>
    <row r="18" spans="1:16" ht="13.8" x14ac:dyDescent="0.25">
      <c r="A18" s="111" t="s">
        <v>1342</v>
      </c>
      <c r="B18" s="29" t="s">
        <v>1736</v>
      </c>
      <c r="C18" s="30" t="s">
        <v>18</v>
      </c>
      <c r="D18" s="29" t="s">
        <v>243</v>
      </c>
      <c r="E18" s="29">
        <v>1</v>
      </c>
      <c r="F18" s="112" t="s">
        <v>245</v>
      </c>
      <c r="G18" s="155">
        <v>1</v>
      </c>
      <c r="H18" s="157" t="s">
        <v>14</v>
      </c>
      <c r="I18" s="113">
        <v>620</v>
      </c>
      <c r="J18" s="90">
        <v>634</v>
      </c>
      <c r="K18" s="86">
        <v>1.2</v>
      </c>
      <c r="L18" s="86">
        <v>1</v>
      </c>
      <c r="M18" s="86">
        <v>1.1000000000000001</v>
      </c>
      <c r="N18" s="98" t="s">
        <v>349</v>
      </c>
      <c r="O18" s="7"/>
      <c r="P18" s="7"/>
    </row>
    <row r="19" spans="1:16" ht="13.8" x14ac:dyDescent="0.25">
      <c r="A19" s="111" t="s">
        <v>1342</v>
      </c>
      <c r="B19" s="29" t="s">
        <v>1736</v>
      </c>
      <c r="C19" s="30" t="s">
        <v>18</v>
      </c>
      <c r="D19" s="29" t="s">
        <v>243</v>
      </c>
      <c r="E19" s="29">
        <v>1</v>
      </c>
      <c r="F19" s="112" t="s">
        <v>245</v>
      </c>
      <c r="G19" s="155">
        <v>1</v>
      </c>
      <c r="H19" s="157" t="s">
        <v>14</v>
      </c>
      <c r="I19" s="113">
        <v>620</v>
      </c>
      <c r="J19" s="90">
        <v>634</v>
      </c>
      <c r="K19" s="86">
        <v>1.2</v>
      </c>
      <c r="L19" s="86">
        <v>1</v>
      </c>
      <c r="M19" s="86">
        <v>1.1000000000000001</v>
      </c>
      <c r="N19" s="98" t="s">
        <v>349</v>
      </c>
      <c r="O19" s="7"/>
      <c r="P19" s="7"/>
    </row>
    <row r="20" spans="1:16" ht="13.8" x14ac:dyDescent="0.25">
      <c r="A20" s="111" t="s">
        <v>1342</v>
      </c>
      <c r="B20" s="29" t="s">
        <v>1736</v>
      </c>
      <c r="C20" s="30" t="s">
        <v>18</v>
      </c>
      <c r="D20" s="29" t="s">
        <v>243</v>
      </c>
      <c r="E20" s="29">
        <v>1</v>
      </c>
      <c r="F20" s="112" t="s">
        <v>245</v>
      </c>
      <c r="G20" s="155">
        <v>1</v>
      </c>
      <c r="H20" s="157" t="s">
        <v>14</v>
      </c>
      <c r="I20" s="113">
        <v>620</v>
      </c>
      <c r="J20" s="90">
        <v>634</v>
      </c>
      <c r="K20" s="86">
        <v>1.2</v>
      </c>
      <c r="L20" s="86">
        <v>1</v>
      </c>
      <c r="M20" s="86">
        <v>1.1000000000000001</v>
      </c>
      <c r="N20" s="98" t="s">
        <v>349</v>
      </c>
      <c r="O20" s="7"/>
      <c r="P20" s="7"/>
    </row>
    <row r="21" spans="1:16" ht="13.8" x14ac:dyDescent="0.25">
      <c r="A21" s="111" t="s">
        <v>1342</v>
      </c>
      <c r="B21" s="29" t="s">
        <v>1736</v>
      </c>
      <c r="C21" s="30" t="s">
        <v>18</v>
      </c>
      <c r="D21" s="29" t="s">
        <v>243</v>
      </c>
      <c r="E21" s="29">
        <v>1</v>
      </c>
      <c r="F21" s="112" t="s">
        <v>245</v>
      </c>
      <c r="G21" s="155">
        <v>1</v>
      </c>
      <c r="H21" s="157" t="s">
        <v>14</v>
      </c>
      <c r="I21" s="113">
        <v>620</v>
      </c>
      <c r="J21" s="90">
        <v>634</v>
      </c>
      <c r="K21" s="86">
        <v>1.2</v>
      </c>
      <c r="L21" s="86">
        <v>1</v>
      </c>
      <c r="M21" s="86">
        <v>1.1000000000000001</v>
      </c>
      <c r="N21" s="98" t="s">
        <v>349</v>
      </c>
      <c r="O21" s="7"/>
      <c r="P21" s="7"/>
    </row>
    <row r="22" spans="1:16" ht="13.8" x14ac:dyDescent="0.25">
      <c r="A22" s="111" t="s">
        <v>1342</v>
      </c>
      <c r="B22" s="29" t="s">
        <v>1736</v>
      </c>
      <c r="C22" s="30" t="s">
        <v>18</v>
      </c>
      <c r="D22" s="29" t="s">
        <v>243</v>
      </c>
      <c r="E22" s="29">
        <v>1</v>
      </c>
      <c r="F22" s="112" t="s">
        <v>246</v>
      </c>
      <c r="G22" s="155">
        <v>1</v>
      </c>
      <c r="H22" s="157" t="s">
        <v>14</v>
      </c>
      <c r="I22" s="113">
        <v>460</v>
      </c>
      <c r="J22" s="90">
        <v>475</v>
      </c>
      <c r="K22" s="86">
        <v>1.2</v>
      </c>
      <c r="L22" s="86">
        <v>1</v>
      </c>
      <c r="M22" s="86">
        <v>0.85</v>
      </c>
      <c r="N22" s="98" t="s">
        <v>349</v>
      </c>
      <c r="O22" s="7"/>
      <c r="P22" s="7"/>
    </row>
    <row r="23" spans="1:16" ht="13.8" x14ac:dyDescent="0.25">
      <c r="A23" s="111" t="s">
        <v>1342</v>
      </c>
      <c r="B23" s="29" t="s">
        <v>1736</v>
      </c>
      <c r="C23" s="30" t="s">
        <v>18</v>
      </c>
      <c r="D23" s="29" t="s">
        <v>243</v>
      </c>
      <c r="E23" s="29">
        <v>1</v>
      </c>
      <c r="F23" s="112" t="s">
        <v>247</v>
      </c>
      <c r="G23" s="155">
        <v>1</v>
      </c>
      <c r="H23" s="157" t="s">
        <v>14</v>
      </c>
      <c r="I23" s="113">
        <v>660</v>
      </c>
      <c r="J23" s="90">
        <v>674</v>
      </c>
      <c r="K23" s="86">
        <v>1.2</v>
      </c>
      <c r="L23" s="86">
        <v>1</v>
      </c>
      <c r="M23" s="86">
        <v>1.1000000000000001</v>
      </c>
      <c r="N23" s="98" t="s">
        <v>349</v>
      </c>
      <c r="O23" s="7"/>
      <c r="P23" s="7"/>
    </row>
    <row r="24" spans="1:16" ht="13.8" x14ac:dyDescent="0.25">
      <c r="A24" s="111" t="s">
        <v>1342</v>
      </c>
      <c r="B24" s="29" t="s">
        <v>1736</v>
      </c>
      <c r="C24" s="30" t="s">
        <v>18</v>
      </c>
      <c r="D24" s="29" t="s">
        <v>243</v>
      </c>
      <c r="E24" s="29">
        <v>1</v>
      </c>
      <c r="F24" s="112" t="s">
        <v>248</v>
      </c>
      <c r="G24" s="155">
        <v>1</v>
      </c>
      <c r="H24" s="157" t="s">
        <v>14</v>
      </c>
      <c r="I24" s="113">
        <v>620</v>
      </c>
      <c r="J24" s="90">
        <v>634</v>
      </c>
      <c r="K24" s="86">
        <v>1.2</v>
      </c>
      <c r="L24" s="86">
        <v>1</v>
      </c>
      <c r="M24" s="86">
        <v>1.1000000000000001</v>
      </c>
      <c r="N24" s="98" t="s">
        <v>349</v>
      </c>
      <c r="O24" s="7"/>
      <c r="P24" s="7"/>
    </row>
    <row r="25" spans="1:16" ht="13.8" x14ac:dyDescent="0.25">
      <c r="A25" s="111" t="s">
        <v>1342</v>
      </c>
      <c r="B25" s="29" t="s">
        <v>1736</v>
      </c>
      <c r="C25" s="30" t="s">
        <v>18</v>
      </c>
      <c r="D25" s="29" t="s">
        <v>243</v>
      </c>
      <c r="E25" s="29">
        <v>1</v>
      </c>
      <c r="F25" s="112" t="s">
        <v>248</v>
      </c>
      <c r="G25" s="155">
        <v>1</v>
      </c>
      <c r="H25" s="157" t="s">
        <v>14</v>
      </c>
      <c r="I25" s="113">
        <v>620</v>
      </c>
      <c r="J25" s="90">
        <v>634</v>
      </c>
      <c r="K25" s="86">
        <v>1.2</v>
      </c>
      <c r="L25" s="86">
        <v>1</v>
      </c>
      <c r="M25" s="86">
        <v>1.1000000000000001</v>
      </c>
      <c r="N25" s="98" t="s">
        <v>349</v>
      </c>
      <c r="O25" s="7"/>
      <c r="P25" s="7"/>
    </row>
    <row r="26" spans="1:16" ht="13.8" x14ac:dyDescent="0.25">
      <c r="A26" s="111" t="s">
        <v>1342</v>
      </c>
      <c r="B26" s="29" t="s">
        <v>1736</v>
      </c>
      <c r="C26" s="30" t="s">
        <v>18</v>
      </c>
      <c r="D26" s="29" t="s">
        <v>243</v>
      </c>
      <c r="E26" s="29">
        <v>1</v>
      </c>
      <c r="F26" s="112" t="s">
        <v>248</v>
      </c>
      <c r="G26" s="155">
        <v>1</v>
      </c>
      <c r="H26" s="157" t="s">
        <v>14</v>
      </c>
      <c r="I26" s="113">
        <v>620</v>
      </c>
      <c r="J26" s="90">
        <v>634</v>
      </c>
      <c r="K26" s="86">
        <v>1.2</v>
      </c>
      <c r="L26" s="86">
        <v>1</v>
      </c>
      <c r="M26" s="86">
        <v>1.1000000000000001</v>
      </c>
      <c r="N26" s="98" t="s">
        <v>349</v>
      </c>
      <c r="O26" s="7"/>
      <c r="P26" s="7"/>
    </row>
    <row r="27" spans="1:16" ht="13.8" x14ac:dyDescent="0.25">
      <c r="A27" s="111" t="s">
        <v>1342</v>
      </c>
      <c r="B27" s="29" t="s">
        <v>1736</v>
      </c>
      <c r="C27" s="30" t="s">
        <v>18</v>
      </c>
      <c r="D27" s="29" t="s">
        <v>243</v>
      </c>
      <c r="E27" s="29">
        <v>1</v>
      </c>
      <c r="F27" s="112" t="s">
        <v>248</v>
      </c>
      <c r="G27" s="155">
        <v>1</v>
      </c>
      <c r="H27" s="157" t="s">
        <v>14</v>
      </c>
      <c r="I27" s="113">
        <v>620</v>
      </c>
      <c r="J27" s="90">
        <v>634</v>
      </c>
      <c r="K27" s="86">
        <v>1.2</v>
      </c>
      <c r="L27" s="86">
        <v>1</v>
      </c>
      <c r="M27" s="86">
        <v>1.1000000000000001</v>
      </c>
      <c r="N27" s="98" t="s">
        <v>349</v>
      </c>
      <c r="O27" s="7"/>
      <c r="P27" s="7"/>
    </row>
    <row r="28" spans="1:16" ht="13.8" x14ac:dyDescent="0.25">
      <c r="A28" s="111" t="s">
        <v>1342</v>
      </c>
      <c r="B28" s="29" t="s">
        <v>1736</v>
      </c>
      <c r="C28" s="30" t="s">
        <v>18</v>
      </c>
      <c r="D28" s="29" t="s">
        <v>243</v>
      </c>
      <c r="E28" s="29">
        <v>1</v>
      </c>
      <c r="F28" s="112" t="s">
        <v>249</v>
      </c>
      <c r="G28" s="155">
        <v>1</v>
      </c>
      <c r="H28" s="157" t="s">
        <v>14</v>
      </c>
      <c r="I28" s="113">
        <v>460</v>
      </c>
      <c r="J28" s="90">
        <v>475</v>
      </c>
      <c r="K28" s="86">
        <v>1.2</v>
      </c>
      <c r="L28" s="86">
        <v>1</v>
      </c>
      <c r="M28" s="86">
        <v>1.1000000000000001</v>
      </c>
      <c r="N28" s="98" t="s">
        <v>349</v>
      </c>
      <c r="O28" s="7"/>
      <c r="P28" s="7"/>
    </row>
    <row r="29" spans="1:16" ht="13.8" x14ac:dyDescent="0.25">
      <c r="A29" s="111" t="s">
        <v>1342</v>
      </c>
      <c r="B29" s="29" t="s">
        <v>1736</v>
      </c>
      <c r="C29" s="30" t="s">
        <v>18</v>
      </c>
      <c r="D29" s="29" t="s">
        <v>250</v>
      </c>
      <c r="E29" s="29">
        <v>1</v>
      </c>
      <c r="F29" s="112" t="s">
        <v>251</v>
      </c>
      <c r="G29" s="155">
        <v>15</v>
      </c>
      <c r="H29" s="157" t="s">
        <v>14</v>
      </c>
      <c r="I29" s="113">
        <v>255</v>
      </c>
      <c r="J29" s="90">
        <v>280</v>
      </c>
      <c r="K29" s="86">
        <v>1.3</v>
      </c>
      <c r="L29" s="86">
        <v>1.1000000000000001</v>
      </c>
      <c r="M29" s="86">
        <v>1.4</v>
      </c>
      <c r="N29" s="98" t="s">
        <v>349</v>
      </c>
      <c r="O29" s="7"/>
      <c r="P29" s="7"/>
    </row>
    <row r="30" spans="1:16" ht="13.8" x14ac:dyDescent="0.25">
      <c r="A30" s="111" t="s">
        <v>1342</v>
      </c>
      <c r="B30" s="29" t="s">
        <v>1736</v>
      </c>
      <c r="C30" s="30" t="s">
        <v>18</v>
      </c>
      <c r="D30" s="29" t="s">
        <v>250</v>
      </c>
      <c r="E30" s="29">
        <v>1</v>
      </c>
      <c r="F30" s="112" t="s">
        <v>251</v>
      </c>
      <c r="G30" s="155">
        <v>15</v>
      </c>
      <c r="H30" s="157" t="s">
        <v>14</v>
      </c>
      <c r="I30" s="113">
        <v>255</v>
      </c>
      <c r="J30" s="90">
        <v>280</v>
      </c>
      <c r="K30" s="86">
        <v>1.3</v>
      </c>
      <c r="L30" s="86">
        <v>1.1000000000000001</v>
      </c>
      <c r="M30" s="86">
        <v>1.4</v>
      </c>
      <c r="N30" s="98" t="s">
        <v>349</v>
      </c>
      <c r="O30" s="7"/>
      <c r="P30" s="7"/>
    </row>
    <row r="31" spans="1:16" ht="13.8" x14ac:dyDescent="0.25">
      <c r="A31" s="111" t="s">
        <v>1342</v>
      </c>
      <c r="B31" s="29" t="s">
        <v>1736</v>
      </c>
      <c r="C31" s="30" t="s">
        <v>18</v>
      </c>
      <c r="D31" s="29" t="s">
        <v>250</v>
      </c>
      <c r="E31" s="29">
        <v>1</v>
      </c>
      <c r="F31" s="112" t="s">
        <v>252</v>
      </c>
      <c r="G31" s="155">
        <v>17</v>
      </c>
      <c r="H31" s="157" t="s">
        <v>14</v>
      </c>
      <c r="I31" s="113">
        <v>290</v>
      </c>
      <c r="J31" s="90">
        <v>315</v>
      </c>
      <c r="K31" s="86">
        <v>1.3</v>
      </c>
      <c r="L31" s="86">
        <v>1.1000000000000001</v>
      </c>
      <c r="M31" s="86">
        <v>1.7</v>
      </c>
      <c r="N31" s="98" t="s">
        <v>349</v>
      </c>
      <c r="O31" s="7"/>
      <c r="P31" s="7"/>
    </row>
    <row r="32" spans="1:16" ht="13.8" x14ac:dyDescent="0.25">
      <c r="A32" s="111" t="s">
        <v>1342</v>
      </c>
      <c r="B32" s="29" t="s">
        <v>1736</v>
      </c>
      <c r="C32" s="30" t="s">
        <v>18</v>
      </c>
      <c r="D32" s="29" t="s">
        <v>253</v>
      </c>
      <c r="E32" s="29">
        <v>1</v>
      </c>
      <c r="F32" s="112" t="s">
        <v>254</v>
      </c>
      <c r="G32" s="155">
        <v>27</v>
      </c>
      <c r="H32" s="157" t="s">
        <v>14</v>
      </c>
      <c r="I32" s="113">
        <v>815</v>
      </c>
      <c r="J32" s="90">
        <v>850</v>
      </c>
      <c r="K32" s="86">
        <v>1.3</v>
      </c>
      <c r="L32" s="86">
        <v>1.1000000000000001</v>
      </c>
      <c r="M32" s="86">
        <v>1.6</v>
      </c>
      <c r="N32" s="98" t="s">
        <v>349</v>
      </c>
      <c r="O32" s="7"/>
      <c r="P32" s="7"/>
    </row>
    <row r="33" spans="1:16" ht="13.8" x14ac:dyDescent="0.25">
      <c r="A33" s="111" t="s">
        <v>1342</v>
      </c>
      <c r="B33" s="29" t="s">
        <v>1736</v>
      </c>
      <c r="C33" s="30" t="s">
        <v>18</v>
      </c>
      <c r="D33" s="29" t="s">
        <v>253</v>
      </c>
      <c r="E33" s="29">
        <v>1</v>
      </c>
      <c r="F33" s="112" t="s">
        <v>255</v>
      </c>
      <c r="G33" s="155">
        <v>26</v>
      </c>
      <c r="H33" s="157" t="s">
        <v>14</v>
      </c>
      <c r="I33" s="113">
        <v>785</v>
      </c>
      <c r="J33" s="90">
        <v>820</v>
      </c>
      <c r="K33" s="86">
        <v>1.3</v>
      </c>
      <c r="L33" s="86">
        <v>1.1000000000000001</v>
      </c>
      <c r="M33" s="86">
        <v>1.6</v>
      </c>
      <c r="N33" s="98" t="s">
        <v>349</v>
      </c>
      <c r="O33" s="7"/>
      <c r="P33" s="7"/>
    </row>
    <row r="34" spans="1:16" ht="13.8" x14ac:dyDescent="0.25">
      <c r="A34" s="111" t="s">
        <v>1342</v>
      </c>
      <c r="B34" s="29" t="s">
        <v>1736</v>
      </c>
      <c r="C34" s="30" t="s">
        <v>18</v>
      </c>
      <c r="D34" s="29" t="s">
        <v>256</v>
      </c>
      <c r="E34" s="29">
        <v>1</v>
      </c>
      <c r="F34" s="112" t="s">
        <v>257</v>
      </c>
      <c r="G34" s="155">
        <v>36</v>
      </c>
      <c r="H34" s="157" t="s">
        <v>14</v>
      </c>
      <c r="I34" s="113">
        <v>1084</v>
      </c>
      <c r="J34" s="90">
        <v>1123</v>
      </c>
      <c r="K34" s="86">
        <v>1.3</v>
      </c>
      <c r="L34" s="86">
        <v>1.1000000000000001</v>
      </c>
      <c r="M34" s="86">
        <v>1.6</v>
      </c>
      <c r="N34" s="98" t="s">
        <v>349</v>
      </c>
      <c r="O34" s="7"/>
      <c r="P34" s="7"/>
    </row>
    <row r="35" spans="1:16" ht="13.8" x14ac:dyDescent="0.25">
      <c r="A35" s="111" t="s">
        <v>1342</v>
      </c>
      <c r="B35" s="29" t="s">
        <v>1736</v>
      </c>
      <c r="C35" s="30" t="s">
        <v>18</v>
      </c>
      <c r="D35" s="29" t="s">
        <v>258</v>
      </c>
      <c r="E35" s="29">
        <v>1</v>
      </c>
      <c r="F35" s="112" t="s">
        <v>259</v>
      </c>
      <c r="G35" s="155">
        <v>19</v>
      </c>
      <c r="H35" s="157" t="s">
        <v>14</v>
      </c>
      <c r="I35" s="113">
        <v>575</v>
      </c>
      <c r="J35" s="90">
        <v>610</v>
      </c>
      <c r="K35" s="86">
        <v>1.3</v>
      </c>
      <c r="L35" s="86">
        <v>1.1000000000000001</v>
      </c>
      <c r="M35" s="86">
        <v>1</v>
      </c>
      <c r="N35" s="98" t="s">
        <v>349</v>
      </c>
      <c r="O35" s="7"/>
      <c r="P35" s="7"/>
    </row>
    <row r="36" spans="1:16" ht="13.8" x14ac:dyDescent="0.25">
      <c r="A36" s="111" t="s">
        <v>1342</v>
      </c>
      <c r="B36" s="29" t="s">
        <v>1736</v>
      </c>
      <c r="C36" s="30" t="s">
        <v>20</v>
      </c>
      <c r="D36" s="29" t="s">
        <v>307</v>
      </c>
      <c r="E36" s="29">
        <v>1</v>
      </c>
      <c r="F36" s="112" t="s">
        <v>308</v>
      </c>
      <c r="G36" s="155">
        <v>1</v>
      </c>
      <c r="H36" s="157" t="s">
        <v>14</v>
      </c>
      <c r="I36" s="113">
        <v>280</v>
      </c>
      <c r="J36" s="90">
        <v>300</v>
      </c>
      <c r="K36" s="86">
        <v>1.2</v>
      </c>
      <c r="L36" s="100">
        <v>0.8</v>
      </c>
      <c r="M36" s="100">
        <v>0.8</v>
      </c>
      <c r="N36" s="98" t="s">
        <v>349</v>
      </c>
      <c r="O36" s="7"/>
      <c r="P36" s="7"/>
    </row>
    <row r="37" spans="1:16" ht="13.8" x14ac:dyDescent="0.25">
      <c r="A37" s="111" t="s">
        <v>1342</v>
      </c>
      <c r="B37" s="29" t="s">
        <v>1736</v>
      </c>
      <c r="C37" s="30" t="s">
        <v>20</v>
      </c>
      <c r="D37" s="29" t="s">
        <v>307</v>
      </c>
      <c r="E37" s="29">
        <v>1</v>
      </c>
      <c r="F37" s="112" t="s">
        <v>308</v>
      </c>
      <c r="G37" s="155">
        <v>1</v>
      </c>
      <c r="H37" s="157" t="s">
        <v>14</v>
      </c>
      <c r="I37" s="113">
        <v>280</v>
      </c>
      <c r="J37" s="90">
        <v>300</v>
      </c>
      <c r="K37" s="86">
        <v>1.2</v>
      </c>
      <c r="L37" s="100">
        <v>0.8</v>
      </c>
      <c r="M37" s="100">
        <v>0.8</v>
      </c>
      <c r="N37" s="98" t="s">
        <v>349</v>
      </c>
      <c r="O37" s="7"/>
      <c r="P37" s="7"/>
    </row>
    <row r="38" spans="1:16" ht="13.8" x14ac:dyDescent="0.25">
      <c r="A38" s="111" t="s">
        <v>1342</v>
      </c>
      <c r="B38" s="29" t="s">
        <v>1736</v>
      </c>
      <c r="C38" s="30" t="s">
        <v>21</v>
      </c>
      <c r="D38" s="29" t="s">
        <v>50</v>
      </c>
      <c r="E38" s="29">
        <v>1</v>
      </c>
      <c r="F38" s="112" t="s">
        <v>334</v>
      </c>
      <c r="G38" s="155">
        <v>1</v>
      </c>
      <c r="H38" s="157" t="s">
        <v>14</v>
      </c>
      <c r="I38" s="116">
        <v>4200</v>
      </c>
      <c r="J38" s="108">
        <v>4200</v>
      </c>
      <c r="K38" s="106">
        <v>3.5</v>
      </c>
      <c r="L38" s="106">
        <v>2.5</v>
      </c>
      <c r="M38" s="86">
        <v>3.5</v>
      </c>
      <c r="N38" s="98" t="s">
        <v>1</v>
      </c>
      <c r="O38" s="7"/>
      <c r="P38" s="7"/>
    </row>
    <row r="39" spans="1:16" ht="13.8" x14ac:dyDescent="0.25">
      <c r="A39" s="111" t="s">
        <v>1342</v>
      </c>
      <c r="B39" s="29" t="s">
        <v>1736</v>
      </c>
      <c r="C39" s="30"/>
      <c r="D39" s="29"/>
      <c r="E39" s="29"/>
      <c r="F39" s="112"/>
      <c r="G39" s="155"/>
      <c r="H39" s="157"/>
      <c r="I39" s="115"/>
      <c r="J39" s="59"/>
      <c r="K39" s="86"/>
      <c r="L39" s="86"/>
      <c r="M39" s="86"/>
      <c r="N39" s="98"/>
      <c r="O39" s="7"/>
      <c r="P39" s="7"/>
    </row>
    <row r="40" spans="1:16" ht="13.8" x14ac:dyDescent="0.25">
      <c r="A40" s="111" t="s">
        <v>1342</v>
      </c>
      <c r="B40" s="29" t="s">
        <v>1736</v>
      </c>
      <c r="C40" s="30" t="s">
        <v>21</v>
      </c>
      <c r="D40" s="29" t="s">
        <v>52</v>
      </c>
      <c r="E40" s="29">
        <v>1</v>
      </c>
      <c r="F40" s="112" t="s">
        <v>296</v>
      </c>
      <c r="G40" s="155">
        <v>1</v>
      </c>
      <c r="H40" s="157" t="s">
        <v>14</v>
      </c>
      <c r="I40" s="113">
        <v>27500</v>
      </c>
      <c r="J40" s="90">
        <v>27500</v>
      </c>
      <c r="K40" s="101">
        <v>5.4</v>
      </c>
      <c r="L40" s="101">
        <v>5.4</v>
      </c>
      <c r="M40" s="101">
        <v>4.8140000000000001</v>
      </c>
      <c r="N40" s="98" t="s">
        <v>352</v>
      </c>
      <c r="O40" s="7"/>
      <c r="P40" s="7"/>
    </row>
    <row r="41" spans="1:16" ht="13.8" x14ac:dyDescent="0.25">
      <c r="A41" s="111" t="s">
        <v>1342</v>
      </c>
      <c r="B41" s="29" t="s">
        <v>1736</v>
      </c>
      <c r="C41" s="30" t="s">
        <v>21</v>
      </c>
      <c r="D41" s="29" t="s">
        <v>52</v>
      </c>
      <c r="E41" s="29">
        <v>1</v>
      </c>
      <c r="F41" s="112" t="s">
        <v>297</v>
      </c>
      <c r="G41" s="155">
        <v>1</v>
      </c>
      <c r="H41" s="157" t="s">
        <v>14</v>
      </c>
      <c r="I41" s="113">
        <v>25000</v>
      </c>
      <c r="J41" s="90">
        <v>25000</v>
      </c>
      <c r="K41" s="101">
        <v>5.4</v>
      </c>
      <c r="L41" s="101">
        <v>5.4</v>
      </c>
      <c r="M41" s="101">
        <v>5.03</v>
      </c>
      <c r="N41" s="98" t="s">
        <v>352</v>
      </c>
      <c r="O41" s="7"/>
      <c r="P41" s="7"/>
    </row>
    <row r="42" spans="1:16" ht="13.8" x14ac:dyDescent="0.25">
      <c r="A42" s="111" t="s">
        <v>1342</v>
      </c>
      <c r="B42" s="29" t="s">
        <v>1736</v>
      </c>
      <c r="C42" s="30" t="s">
        <v>21</v>
      </c>
      <c r="D42" s="29" t="s">
        <v>52</v>
      </c>
      <c r="E42" s="29">
        <v>1</v>
      </c>
      <c r="F42" s="112" t="s">
        <v>298</v>
      </c>
      <c r="G42" s="155">
        <v>1</v>
      </c>
      <c r="H42" s="157" t="s">
        <v>14</v>
      </c>
      <c r="I42" s="113">
        <v>9750</v>
      </c>
      <c r="J42" s="90">
        <v>9750</v>
      </c>
      <c r="K42" s="101">
        <v>5.5</v>
      </c>
      <c r="L42" s="101">
        <v>5.5</v>
      </c>
      <c r="M42" s="101">
        <v>2.1880000000000002</v>
      </c>
      <c r="N42" s="98" t="s">
        <v>352</v>
      </c>
      <c r="O42" s="7"/>
      <c r="P42" s="7"/>
    </row>
    <row r="43" spans="1:16" ht="13.8" x14ac:dyDescent="0.25">
      <c r="A43" s="111" t="s">
        <v>1342</v>
      </c>
      <c r="B43" s="29" t="s">
        <v>1736</v>
      </c>
      <c r="C43" s="30" t="s">
        <v>21</v>
      </c>
      <c r="D43" s="29" t="s">
        <v>52</v>
      </c>
      <c r="E43" s="29">
        <v>1</v>
      </c>
      <c r="F43" s="112" t="s">
        <v>299</v>
      </c>
      <c r="G43" s="155">
        <v>1</v>
      </c>
      <c r="H43" s="157" t="s">
        <v>14</v>
      </c>
      <c r="I43" s="113">
        <v>25500</v>
      </c>
      <c r="J43" s="90">
        <v>25500</v>
      </c>
      <c r="K43" s="101">
        <v>5.9</v>
      </c>
      <c r="L43" s="101">
        <v>5.9</v>
      </c>
      <c r="M43" s="101">
        <v>4.9000000000000004</v>
      </c>
      <c r="N43" s="98" t="s">
        <v>352</v>
      </c>
      <c r="O43" s="7"/>
      <c r="P43" s="7"/>
    </row>
    <row r="44" spans="1:16" ht="13.8" x14ac:dyDescent="0.25">
      <c r="A44" s="111" t="s">
        <v>1342</v>
      </c>
      <c r="B44" s="29" t="s">
        <v>1736</v>
      </c>
      <c r="C44" s="30" t="s">
        <v>21</v>
      </c>
      <c r="D44" s="29" t="s">
        <v>52</v>
      </c>
      <c r="E44" s="29">
        <v>1</v>
      </c>
      <c r="F44" s="112" t="s">
        <v>347</v>
      </c>
      <c r="G44" s="155">
        <v>1</v>
      </c>
      <c r="H44" s="157" t="s">
        <v>14</v>
      </c>
      <c r="I44" s="113">
        <v>506</v>
      </c>
      <c r="J44" s="90">
        <v>506</v>
      </c>
      <c r="K44" s="90">
        <v>2.87</v>
      </c>
      <c r="L44" s="101">
        <v>0.52</v>
      </c>
      <c r="M44" s="101">
        <v>0.3</v>
      </c>
      <c r="N44" s="98" t="s">
        <v>85</v>
      </c>
      <c r="O44" s="7"/>
      <c r="P44" s="7"/>
    </row>
    <row r="45" spans="1:16" ht="13.8" x14ac:dyDescent="0.25">
      <c r="A45" s="111" t="s">
        <v>1342</v>
      </c>
      <c r="B45" s="29" t="s">
        <v>1736</v>
      </c>
      <c r="C45" s="30" t="s">
        <v>21</v>
      </c>
      <c r="D45" s="29" t="s">
        <v>52</v>
      </c>
      <c r="E45" s="29">
        <v>1</v>
      </c>
      <c r="F45" s="112" t="s">
        <v>347</v>
      </c>
      <c r="G45" s="155">
        <v>1</v>
      </c>
      <c r="H45" s="157" t="s">
        <v>14</v>
      </c>
      <c r="I45" s="113">
        <v>506</v>
      </c>
      <c r="J45" s="90">
        <v>506</v>
      </c>
      <c r="K45" s="90">
        <v>2.87</v>
      </c>
      <c r="L45" s="101">
        <v>0.52</v>
      </c>
      <c r="M45" s="101">
        <v>0.3</v>
      </c>
      <c r="N45" s="98" t="s">
        <v>85</v>
      </c>
      <c r="O45" s="7"/>
      <c r="P45" s="7"/>
    </row>
    <row r="46" spans="1:16" ht="13.8" x14ac:dyDescent="0.25">
      <c r="A46" s="111" t="s">
        <v>1342</v>
      </c>
      <c r="B46" s="29" t="s">
        <v>1736</v>
      </c>
      <c r="C46" s="30" t="s">
        <v>21</v>
      </c>
      <c r="D46" s="29" t="s">
        <v>52</v>
      </c>
      <c r="E46" s="29">
        <v>1</v>
      </c>
      <c r="F46" s="112" t="s">
        <v>347</v>
      </c>
      <c r="G46" s="155">
        <v>1</v>
      </c>
      <c r="H46" s="157" t="s">
        <v>14</v>
      </c>
      <c r="I46" s="113">
        <v>506</v>
      </c>
      <c r="J46" s="90">
        <v>506</v>
      </c>
      <c r="K46" s="90">
        <v>2.87</v>
      </c>
      <c r="L46" s="101">
        <v>0.52</v>
      </c>
      <c r="M46" s="101">
        <v>0.3</v>
      </c>
      <c r="N46" s="98" t="s">
        <v>85</v>
      </c>
      <c r="O46" s="7"/>
      <c r="P46" s="7"/>
    </row>
    <row r="47" spans="1:16" ht="13.8" x14ac:dyDescent="0.25">
      <c r="A47" s="111" t="s">
        <v>1342</v>
      </c>
      <c r="B47" s="29" t="s">
        <v>1736</v>
      </c>
      <c r="C47" s="30" t="s">
        <v>21</v>
      </c>
      <c r="D47" s="29" t="s">
        <v>52</v>
      </c>
      <c r="E47" s="29">
        <v>1</v>
      </c>
      <c r="F47" s="112" t="s">
        <v>347</v>
      </c>
      <c r="G47" s="155">
        <v>1</v>
      </c>
      <c r="H47" s="157" t="s">
        <v>14</v>
      </c>
      <c r="I47" s="113">
        <v>506</v>
      </c>
      <c r="J47" s="90">
        <v>506</v>
      </c>
      <c r="K47" s="90">
        <v>2.87</v>
      </c>
      <c r="L47" s="101">
        <v>0.52</v>
      </c>
      <c r="M47" s="101">
        <v>0.3</v>
      </c>
      <c r="N47" s="98" t="s">
        <v>85</v>
      </c>
      <c r="O47" s="7"/>
      <c r="P47" s="7"/>
    </row>
    <row r="48" spans="1:16" ht="13.8" x14ac:dyDescent="0.25">
      <c r="A48" s="111" t="s">
        <v>1342</v>
      </c>
      <c r="B48" s="29" t="s">
        <v>1736</v>
      </c>
      <c r="C48" s="30" t="s">
        <v>21</v>
      </c>
      <c r="D48" s="29" t="s">
        <v>52</v>
      </c>
      <c r="E48" s="29">
        <v>1</v>
      </c>
      <c r="F48" s="112" t="s">
        <v>347</v>
      </c>
      <c r="G48" s="155">
        <v>1</v>
      </c>
      <c r="H48" s="157" t="s">
        <v>14</v>
      </c>
      <c r="I48" s="113">
        <v>506</v>
      </c>
      <c r="J48" s="90">
        <v>506</v>
      </c>
      <c r="K48" s="90">
        <v>2.62</v>
      </c>
      <c r="L48" s="101">
        <v>0.52</v>
      </c>
      <c r="M48" s="101">
        <v>0.3</v>
      </c>
      <c r="N48" s="98" t="s">
        <v>85</v>
      </c>
      <c r="O48" s="7"/>
      <c r="P48" s="7"/>
    </row>
    <row r="49" spans="1:16" ht="13.8" x14ac:dyDescent="0.25">
      <c r="A49" s="111" t="s">
        <v>1342</v>
      </c>
      <c r="B49" s="29" t="s">
        <v>1736</v>
      </c>
      <c r="C49" s="30" t="s">
        <v>21</v>
      </c>
      <c r="D49" s="29" t="s">
        <v>52</v>
      </c>
      <c r="E49" s="29">
        <v>1</v>
      </c>
      <c r="F49" s="112" t="s">
        <v>347</v>
      </c>
      <c r="G49" s="155">
        <v>1</v>
      </c>
      <c r="H49" s="157" t="s">
        <v>14</v>
      </c>
      <c r="I49" s="113">
        <v>506</v>
      </c>
      <c r="J49" s="90">
        <v>506</v>
      </c>
      <c r="K49" s="90">
        <v>2.62</v>
      </c>
      <c r="L49" s="101">
        <v>0.52</v>
      </c>
      <c r="M49" s="101">
        <v>0.3</v>
      </c>
      <c r="N49" s="98" t="s">
        <v>85</v>
      </c>
      <c r="O49" s="7"/>
      <c r="P49" s="7"/>
    </row>
    <row r="50" spans="1:16" ht="13.8" x14ac:dyDescent="0.25">
      <c r="A50" s="111" t="s">
        <v>1342</v>
      </c>
      <c r="B50" s="29" t="s">
        <v>1736</v>
      </c>
      <c r="C50" s="30" t="s">
        <v>21</v>
      </c>
      <c r="D50" s="29" t="s">
        <v>52</v>
      </c>
      <c r="E50" s="29">
        <v>1</v>
      </c>
      <c r="F50" s="112" t="s">
        <v>347</v>
      </c>
      <c r="G50" s="155">
        <v>1</v>
      </c>
      <c r="H50" s="157" t="s">
        <v>14</v>
      </c>
      <c r="I50" s="113">
        <v>506</v>
      </c>
      <c r="J50" s="90">
        <v>506</v>
      </c>
      <c r="K50" s="90">
        <v>2.62</v>
      </c>
      <c r="L50" s="101">
        <v>0.52</v>
      </c>
      <c r="M50" s="101">
        <v>0.3</v>
      </c>
      <c r="N50" s="98" t="s">
        <v>85</v>
      </c>
      <c r="O50" s="7"/>
      <c r="P50" s="7"/>
    </row>
    <row r="51" spans="1:16" ht="13.8" x14ac:dyDescent="0.25">
      <c r="A51" s="111" t="s">
        <v>1342</v>
      </c>
      <c r="B51" s="29" t="s">
        <v>1736</v>
      </c>
      <c r="C51" s="30" t="s">
        <v>21</v>
      </c>
      <c r="D51" s="29" t="s">
        <v>52</v>
      </c>
      <c r="E51" s="29">
        <v>1</v>
      </c>
      <c r="F51" s="112" t="s">
        <v>347</v>
      </c>
      <c r="G51" s="155">
        <v>1</v>
      </c>
      <c r="H51" s="157" t="s">
        <v>14</v>
      </c>
      <c r="I51" s="113">
        <v>506</v>
      </c>
      <c r="J51" s="90">
        <v>506</v>
      </c>
      <c r="K51" s="90">
        <v>2.62</v>
      </c>
      <c r="L51" s="101">
        <v>0.52</v>
      </c>
      <c r="M51" s="101">
        <v>0.3</v>
      </c>
      <c r="N51" s="98" t="s">
        <v>85</v>
      </c>
      <c r="O51" s="7"/>
      <c r="P51" s="7"/>
    </row>
    <row r="52" spans="1:16" ht="13.8" x14ac:dyDescent="0.25">
      <c r="A52" s="111" t="s">
        <v>1342</v>
      </c>
      <c r="B52" s="29" t="s">
        <v>1736</v>
      </c>
      <c r="C52" s="30" t="s">
        <v>21</v>
      </c>
      <c r="D52" s="29" t="s">
        <v>52</v>
      </c>
      <c r="E52" s="29">
        <v>1</v>
      </c>
      <c r="F52" s="112" t="s">
        <v>347</v>
      </c>
      <c r="G52" s="155">
        <v>1</v>
      </c>
      <c r="H52" s="157" t="s">
        <v>14</v>
      </c>
      <c r="I52" s="113">
        <v>506</v>
      </c>
      <c r="J52" s="90">
        <v>506</v>
      </c>
      <c r="K52" s="90">
        <v>2.62</v>
      </c>
      <c r="L52" s="101">
        <v>0.52</v>
      </c>
      <c r="M52" s="101">
        <v>0.3</v>
      </c>
      <c r="N52" s="98" t="s">
        <v>85</v>
      </c>
      <c r="O52" s="7"/>
      <c r="P52" s="7"/>
    </row>
    <row r="53" spans="1:16" ht="13.8" x14ac:dyDescent="0.25">
      <c r="A53" s="111" t="s">
        <v>1342</v>
      </c>
      <c r="B53" s="29" t="s">
        <v>1736</v>
      </c>
      <c r="C53" s="30" t="s">
        <v>21</v>
      </c>
      <c r="D53" s="29" t="s">
        <v>52</v>
      </c>
      <c r="E53" s="29">
        <v>1</v>
      </c>
      <c r="F53" s="112" t="s">
        <v>347</v>
      </c>
      <c r="G53" s="155">
        <v>1</v>
      </c>
      <c r="H53" s="157" t="s">
        <v>14</v>
      </c>
      <c r="I53" s="113">
        <v>506</v>
      </c>
      <c r="J53" s="90">
        <v>506</v>
      </c>
      <c r="K53" s="90">
        <v>2.62</v>
      </c>
      <c r="L53" s="101">
        <v>0.52</v>
      </c>
      <c r="M53" s="101">
        <v>0.3</v>
      </c>
      <c r="N53" s="98" t="s">
        <v>85</v>
      </c>
      <c r="O53" s="7"/>
      <c r="P53" s="7"/>
    </row>
    <row r="54" spans="1:16" ht="13.8" x14ac:dyDescent="0.25">
      <c r="A54" s="111" t="s">
        <v>1342</v>
      </c>
      <c r="B54" s="29" t="s">
        <v>1736</v>
      </c>
      <c r="C54" s="30" t="s">
        <v>21</v>
      </c>
      <c r="D54" s="29" t="s">
        <v>52</v>
      </c>
      <c r="E54" s="29">
        <v>1</v>
      </c>
      <c r="F54" s="112" t="s">
        <v>347</v>
      </c>
      <c r="G54" s="155">
        <v>1</v>
      </c>
      <c r="H54" s="157" t="s">
        <v>14</v>
      </c>
      <c r="I54" s="113">
        <v>506</v>
      </c>
      <c r="J54" s="90">
        <v>506</v>
      </c>
      <c r="K54" s="90">
        <v>2.62</v>
      </c>
      <c r="L54" s="101">
        <v>0.52</v>
      </c>
      <c r="M54" s="101">
        <v>0.3</v>
      </c>
      <c r="N54" s="98" t="s">
        <v>85</v>
      </c>
      <c r="O54" s="7"/>
      <c r="P54" s="7"/>
    </row>
    <row r="55" spans="1:16" ht="13.8" x14ac:dyDescent="0.25">
      <c r="A55" s="111" t="s">
        <v>1342</v>
      </c>
      <c r="B55" s="29" t="s">
        <v>1736</v>
      </c>
      <c r="C55" s="30" t="s">
        <v>21</v>
      </c>
      <c r="D55" s="29" t="s">
        <v>52</v>
      </c>
      <c r="E55" s="29">
        <v>1</v>
      </c>
      <c r="F55" s="112" t="s">
        <v>347</v>
      </c>
      <c r="G55" s="155">
        <v>1</v>
      </c>
      <c r="H55" s="157" t="s">
        <v>14</v>
      </c>
      <c r="I55" s="113">
        <v>506</v>
      </c>
      <c r="J55" s="90">
        <v>506</v>
      </c>
      <c r="K55" s="90">
        <v>2.62</v>
      </c>
      <c r="L55" s="101">
        <v>0.52</v>
      </c>
      <c r="M55" s="101">
        <v>0.3</v>
      </c>
      <c r="N55" s="98" t="s">
        <v>85</v>
      </c>
      <c r="O55" s="7"/>
      <c r="P55" s="7"/>
    </row>
    <row r="56" spans="1:16" ht="13.8" x14ac:dyDescent="0.25">
      <c r="A56" s="111" t="s">
        <v>1342</v>
      </c>
      <c r="B56" s="29" t="s">
        <v>1736</v>
      </c>
      <c r="C56" s="30" t="s">
        <v>21</v>
      </c>
      <c r="D56" s="29" t="s">
        <v>52</v>
      </c>
      <c r="E56" s="29">
        <v>1</v>
      </c>
      <c r="F56" s="112" t="s">
        <v>347</v>
      </c>
      <c r="G56" s="155">
        <v>1</v>
      </c>
      <c r="H56" s="157" t="s">
        <v>14</v>
      </c>
      <c r="I56" s="113">
        <v>506</v>
      </c>
      <c r="J56" s="90">
        <v>506</v>
      </c>
      <c r="K56" s="90">
        <v>2.62</v>
      </c>
      <c r="L56" s="101">
        <v>0.52</v>
      </c>
      <c r="M56" s="101">
        <v>0.3</v>
      </c>
      <c r="N56" s="98" t="s">
        <v>85</v>
      </c>
      <c r="O56" s="7"/>
      <c r="P56" s="7"/>
    </row>
    <row r="57" spans="1:16" ht="13.8" x14ac:dyDescent="0.25">
      <c r="A57" s="111" t="s">
        <v>1342</v>
      </c>
      <c r="B57" s="29" t="s">
        <v>1736</v>
      </c>
      <c r="C57" s="30" t="s">
        <v>21</v>
      </c>
      <c r="D57" s="29" t="s">
        <v>52</v>
      </c>
      <c r="E57" s="29">
        <v>1</v>
      </c>
      <c r="F57" s="112" t="s">
        <v>347</v>
      </c>
      <c r="G57" s="155">
        <v>1</v>
      </c>
      <c r="H57" s="157" t="s">
        <v>14</v>
      </c>
      <c r="I57" s="113">
        <v>506</v>
      </c>
      <c r="J57" s="90">
        <v>506</v>
      </c>
      <c r="K57" s="90">
        <v>2.62</v>
      </c>
      <c r="L57" s="101">
        <v>0.52</v>
      </c>
      <c r="M57" s="101">
        <v>0.3</v>
      </c>
      <c r="N57" s="98" t="s">
        <v>85</v>
      </c>
      <c r="O57" s="7"/>
      <c r="P57" s="7"/>
    </row>
    <row r="58" spans="1:16" ht="13.8" x14ac:dyDescent="0.25">
      <c r="A58" s="111" t="s">
        <v>1342</v>
      </c>
      <c r="B58" s="29" t="s">
        <v>1736</v>
      </c>
      <c r="C58" s="30" t="s">
        <v>21</v>
      </c>
      <c r="D58" s="29" t="s">
        <v>52</v>
      </c>
      <c r="E58" s="29">
        <v>1</v>
      </c>
      <c r="F58" s="112" t="s">
        <v>347</v>
      </c>
      <c r="G58" s="155">
        <v>1</v>
      </c>
      <c r="H58" s="157" t="s">
        <v>14</v>
      </c>
      <c r="I58" s="113">
        <v>506</v>
      </c>
      <c r="J58" s="90">
        <v>506</v>
      </c>
      <c r="K58" s="90">
        <v>2.62</v>
      </c>
      <c r="L58" s="101">
        <v>0.52</v>
      </c>
      <c r="M58" s="101">
        <v>0.3</v>
      </c>
      <c r="N58" s="98" t="s">
        <v>85</v>
      </c>
      <c r="O58" s="7"/>
      <c r="P58" s="7"/>
    </row>
    <row r="59" spans="1:16" ht="13.8" x14ac:dyDescent="0.25">
      <c r="A59" s="111" t="s">
        <v>1342</v>
      </c>
      <c r="B59" s="29" t="s">
        <v>1736</v>
      </c>
      <c r="C59" s="30" t="s">
        <v>21</v>
      </c>
      <c r="D59" s="29" t="s">
        <v>52</v>
      </c>
      <c r="E59" s="29">
        <v>1</v>
      </c>
      <c r="F59" s="112" t="s">
        <v>347</v>
      </c>
      <c r="G59" s="155">
        <v>1</v>
      </c>
      <c r="H59" s="157" t="s">
        <v>14</v>
      </c>
      <c r="I59" s="113">
        <v>506</v>
      </c>
      <c r="J59" s="90">
        <v>506</v>
      </c>
      <c r="K59" s="90">
        <v>2.62</v>
      </c>
      <c r="L59" s="101">
        <v>0.52</v>
      </c>
      <c r="M59" s="101">
        <v>0.3</v>
      </c>
      <c r="N59" s="98" t="s">
        <v>85</v>
      </c>
      <c r="O59" s="7"/>
      <c r="P59" s="7"/>
    </row>
    <row r="60" spans="1:16" ht="13.8" x14ac:dyDescent="0.25">
      <c r="A60" s="111" t="s">
        <v>1342</v>
      </c>
      <c r="B60" s="29" t="s">
        <v>1736</v>
      </c>
      <c r="C60" s="30" t="s">
        <v>21</v>
      </c>
      <c r="D60" s="29" t="s">
        <v>52</v>
      </c>
      <c r="E60" s="29">
        <v>1</v>
      </c>
      <c r="F60" s="112" t="s">
        <v>348</v>
      </c>
      <c r="G60" s="155">
        <v>1</v>
      </c>
      <c r="H60" s="157" t="s">
        <v>14</v>
      </c>
      <c r="I60" s="113">
        <v>670</v>
      </c>
      <c r="J60" s="90">
        <v>670</v>
      </c>
      <c r="K60" s="90">
        <v>2.87</v>
      </c>
      <c r="L60" s="101">
        <v>0.52</v>
      </c>
      <c r="M60" s="101">
        <v>0.52</v>
      </c>
      <c r="N60" s="98" t="s">
        <v>85</v>
      </c>
      <c r="O60" s="7"/>
      <c r="P60" s="7"/>
    </row>
    <row r="61" spans="1:16" ht="13.8" x14ac:dyDescent="0.25">
      <c r="A61" s="111" t="s">
        <v>1342</v>
      </c>
      <c r="B61" s="29" t="s">
        <v>1736</v>
      </c>
      <c r="C61" s="30" t="s">
        <v>21</v>
      </c>
      <c r="D61" s="29" t="s">
        <v>52</v>
      </c>
      <c r="E61" s="29">
        <v>1</v>
      </c>
      <c r="F61" s="112" t="s">
        <v>348</v>
      </c>
      <c r="G61" s="155">
        <v>1</v>
      </c>
      <c r="H61" s="157" t="s">
        <v>14</v>
      </c>
      <c r="I61" s="113">
        <v>670</v>
      </c>
      <c r="J61" s="90">
        <v>670</v>
      </c>
      <c r="K61" s="90">
        <v>2.87</v>
      </c>
      <c r="L61" s="101">
        <v>0.52</v>
      </c>
      <c r="M61" s="101">
        <v>0.52</v>
      </c>
      <c r="N61" s="98" t="s">
        <v>85</v>
      </c>
      <c r="O61" s="7"/>
      <c r="P61" s="7"/>
    </row>
    <row r="62" spans="1:16" ht="13.8" x14ac:dyDescent="0.25">
      <c r="A62" s="111" t="s">
        <v>1342</v>
      </c>
      <c r="B62" s="29" t="s">
        <v>1736</v>
      </c>
      <c r="C62" s="30" t="s">
        <v>21</v>
      </c>
      <c r="D62" s="29" t="s">
        <v>52</v>
      </c>
      <c r="E62" s="29">
        <v>1</v>
      </c>
      <c r="F62" s="112" t="s">
        <v>348</v>
      </c>
      <c r="G62" s="155">
        <v>1</v>
      </c>
      <c r="H62" s="157" t="s">
        <v>14</v>
      </c>
      <c r="I62" s="113">
        <v>670</v>
      </c>
      <c r="J62" s="90">
        <v>670</v>
      </c>
      <c r="K62" s="90">
        <v>2.62</v>
      </c>
      <c r="L62" s="101">
        <v>0.52</v>
      </c>
      <c r="M62" s="101">
        <v>0.52</v>
      </c>
      <c r="N62" s="98" t="s">
        <v>85</v>
      </c>
      <c r="O62" s="7"/>
      <c r="P62" s="7"/>
    </row>
    <row r="63" spans="1:16" ht="13.8" x14ac:dyDescent="0.25">
      <c r="A63" s="111" t="s">
        <v>1342</v>
      </c>
      <c r="B63" s="29" t="s">
        <v>1736</v>
      </c>
      <c r="C63" s="30" t="s">
        <v>21</v>
      </c>
      <c r="D63" s="29" t="s">
        <v>52</v>
      </c>
      <c r="E63" s="29">
        <v>1</v>
      </c>
      <c r="F63" s="112" t="s">
        <v>348</v>
      </c>
      <c r="G63" s="155">
        <v>1</v>
      </c>
      <c r="H63" s="157" t="s">
        <v>14</v>
      </c>
      <c r="I63" s="113">
        <v>670</v>
      </c>
      <c r="J63" s="90">
        <v>670</v>
      </c>
      <c r="K63" s="90">
        <v>2.62</v>
      </c>
      <c r="L63" s="101">
        <v>0.52</v>
      </c>
      <c r="M63" s="101">
        <v>0.52</v>
      </c>
      <c r="N63" s="98" t="s">
        <v>85</v>
      </c>
      <c r="O63" s="7"/>
      <c r="P63" s="7"/>
    </row>
    <row r="64" spans="1:16" ht="13.8" x14ac:dyDescent="0.25">
      <c r="A64" s="111" t="s">
        <v>1342</v>
      </c>
      <c r="B64" s="29" t="s">
        <v>1736</v>
      </c>
      <c r="C64" s="30" t="s">
        <v>21</v>
      </c>
      <c r="D64" s="29" t="s">
        <v>52</v>
      </c>
      <c r="E64" s="29">
        <v>1</v>
      </c>
      <c r="F64" s="112" t="s">
        <v>300</v>
      </c>
      <c r="G64" s="155">
        <v>1</v>
      </c>
      <c r="H64" s="157" t="s">
        <v>14</v>
      </c>
      <c r="I64" s="113">
        <v>3408</v>
      </c>
      <c r="J64" s="90">
        <v>3408</v>
      </c>
      <c r="K64" s="101">
        <v>5.41</v>
      </c>
      <c r="L64" s="101">
        <v>0.32</v>
      </c>
      <c r="M64" s="101">
        <v>0.32</v>
      </c>
      <c r="N64" s="98" t="s">
        <v>351</v>
      </c>
      <c r="O64" s="7"/>
      <c r="P64" s="7"/>
    </row>
    <row r="65" spans="1:16" ht="13.8" x14ac:dyDescent="0.25">
      <c r="A65" s="111" t="s">
        <v>1342</v>
      </c>
      <c r="B65" s="29" t="s">
        <v>1736</v>
      </c>
      <c r="C65" s="30" t="s">
        <v>21</v>
      </c>
      <c r="D65" s="29" t="s">
        <v>52</v>
      </c>
      <c r="E65" s="29">
        <v>1</v>
      </c>
      <c r="F65" s="112" t="s">
        <v>300</v>
      </c>
      <c r="G65" s="155">
        <v>1</v>
      </c>
      <c r="H65" s="157" t="s">
        <v>14</v>
      </c>
      <c r="I65" s="113">
        <v>4032</v>
      </c>
      <c r="J65" s="90">
        <v>4032</v>
      </c>
      <c r="K65" s="101">
        <v>6.4</v>
      </c>
      <c r="L65" s="101">
        <v>0.32</v>
      </c>
      <c r="M65" s="101">
        <v>0.32</v>
      </c>
      <c r="N65" s="98" t="s">
        <v>351</v>
      </c>
      <c r="O65" s="7"/>
      <c r="P65" s="7"/>
    </row>
    <row r="66" spans="1:16" ht="13.8" x14ac:dyDescent="0.25">
      <c r="A66" s="111" t="s">
        <v>1342</v>
      </c>
      <c r="B66" s="29" t="s">
        <v>1736</v>
      </c>
      <c r="C66" s="30" t="s">
        <v>21</v>
      </c>
      <c r="D66" s="29" t="s">
        <v>52</v>
      </c>
      <c r="E66" s="29">
        <v>1</v>
      </c>
      <c r="F66" s="112" t="s">
        <v>300</v>
      </c>
      <c r="G66" s="155">
        <v>1</v>
      </c>
      <c r="H66" s="157" t="s">
        <v>14</v>
      </c>
      <c r="I66" s="113">
        <v>4435</v>
      </c>
      <c r="J66" s="90">
        <v>4435</v>
      </c>
      <c r="K66" s="101">
        <v>7.0359999999999996</v>
      </c>
      <c r="L66" s="101">
        <v>0.32</v>
      </c>
      <c r="M66" s="101">
        <v>0.32</v>
      </c>
      <c r="N66" s="98" t="s">
        <v>351</v>
      </c>
      <c r="O66" s="7"/>
      <c r="P66" s="7"/>
    </row>
    <row r="67" spans="1:16" ht="13.8" x14ac:dyDescent="0.25">
      <c r="A67" s="111" t="s">
        <v>1342</v>
      </c>
      <c r="B67" s="29" t="s">
        <v>1736</v>
      </c>
      <c r="C67" s="30" t="s">
        <v>18</v>
      </c>
      <c r="D67" s="107" t="s">
        <v>335</v>
      </c>
      <c r="E67" s="107">
        <v>1</v>
      </c>
      <c r="F67" s="104" t="s">
        <v>336</v>
      </c>
      <c r="G67" s="155">
        <v>2</v>
      </c>
      <c r="H67" s="157" t="s">
        <v>14</v>
      </c>
      <c r="I67" s="116">
        <v>362</v>
      </c>
      <c r="J67" s="108">
        <v>382</v>
      </c>
      <c r="K67" s="86">
        <v>1.2</v>
      </c>
      <c r="L67" s="86">
        <v>0.8</v>
      </c>
      <c r="M67" s="86">
        <v>0.6</v>
      </c>
      <c r="N67" s="98" t="s">
        <v>351</v>
      </c>
      <c r="O67" s="7"/>
      <c r="P67" s="7"/>
    </row>
    <row r="68" spans="1:16" ht="13.8" x14ac:dyDescent="0.25">
      <c r="A68" s="111" t="s">
        <v>1342</v>
      </c>
      <c r="B68" s="29" t="s">
        <v>1736</v>
      </c>
      <c r="C68" s="30" t="s">
        <v>18</v>
      </c>
      <c r="D68" s="107" t="s">
        <v>337</v>
      </c>
      <c r="E68" s="107">
        <v>1</v>
      </c>
      <c r="F68" s="104" t="s">
        <v>336</v>
      </c>
      <c r="G68" s="155">
        <v>2</v>
      </c>
      <c r="H68" s="157" t="s">
        <v>14</v>
      </c>
      <c r="I68" s="116">
        <v>362</v>
      </c>
      <c r="J68" s="108">
        <v>382</v>
      </c>
      <c r="K68" s="86">
        <v>1.2</v>
      </c>
      <c r="L68" s="86">
        <v>0.8</v>
      </c>
      <c r="M68" s="86">
        <v>0.6</v>
      </c>
      <c r="N68" s="98" t="s">
        <v>351</v>
      </c>
      <c r="O68" s="7"/>
      <c r="P68" s="7"/>
    </row>
    <row r="69" spans="1:16" ht="13.8" x14ac:dyDescent="0.25">
      <c r="A69" s="111" t="s">
        <v>1342</v>
      </c>
      <c r="B69" s="29" t="s">
        <v>1736</v>
      </c>
      <c r="C69" s="30" t="s">
        <v>18</v>
      </c>
      <c r="D69" s="107" t="s">
        <v>338</v>
      </c>
      <c r="E69" s="107">
        <v>1</v>
      </c>
      <c r="F69" s="104" t="s">
        <v>339</v>
      </c>
      <c r="G69" s="155">
        <v>2</v>
      </c>
      <c r="H69" s="157" t="s">
        <v>14</v>
      </c>
      <c r="I69" s="116">
        <v>900</v>
      </c>
      <c r="J69" s="108">
        <v>1000</v>
      </c>
      <c r="K69" s="86">
        <v>2.5</v>
      </c>
      <c r="L69" s="86">
        <v>1.3</v>
      </c>
      <c r="M69" s="86">
        <v>0.65</v>
      </c>
      <c r="N69" s="98" t="s">
        <v>351</v>
      </c>
      <c r="O69" s="7"/>
      <c r="P69" s="7"/>
    </row>
    <row r="70" spans="1:16" ht="13.8" x14ac:dyDescent="0.25">
      <c r="A70" s="111" t="s">
        <v>1342</v>
      </c>
      <c r="B70" s="29" t="s">
        <v>1736</v>
      </c>
      <c r="C70" s="30" t="s">
        <v>18</v>
      </c>
      <c r="D70" s="107" t="s">
        <v>338</v>
      </c>
      <c r="E70" s="107">
        <v>1</v>
      </c>
      <c r="F70" s="104" t="s">
        <v>339</v>
      </c>
      <c r="G70" s="155">
        <v>2</v>
      </c>
      <c r="H70" s="157" t="s">
        <v>14</v>
      </c>
      <c r="I70" s="116">
        <v>900</v>
      </c>
      <c r="J70" s="108">
        <v>1000</v>
      </c>
      <c r="K70" s="86">
        <v>2.5</v>
      </c>
      <c r="L70" s="86">
        <v>1.3</v>
      </c>
      <c r="M70" s="86">
        <v>0.65</v>
      </c>
      <c r="N70" s="98" t="s">
        <v>351</v>
      </c>
      <c r="O70" s="7"/>
      <c r="P70" s="7"/>
    </row>
    <row r="71" spans="1:16" ht="39.6" x14ac:dyDescent="0.25">
      <c r="A71" s="111" t="s">
        <v>1342</v>
      </c>
      <c r="B71" s="29" t="s">
        <v>1736</v>
      </c>
      <c r="C71" s="30" t="s">
        <v>20</v>
      </c>
      <c r="D71" s="107" t="s">
        <v>338</v>
      </c>
      <c r="E71" s="29">
        <v>1</v>
      </c>
      <c r="F71" s="112" t="s">
        <v>893</v>
      </c>
      <c r="G71" s="155">
        <v>63</v>
      </c>
      <c r="H71" s="157" t="s">
        <v>14</v>
      </c>
      <c r="I71" s="113">
        <v>1780</v>
      </c>
      <c r="J71" s="90">
        <v>1850</v>
      </c>
      <c r="K71" s="29">
        <v>1.38</v>
      </c>
      <c r="L71" s="110">
        <v>1.38</v>
      </c>
      <c r="M71" s="110">
        <v>0.54</v>
      </c>
      <c r="N71" s="98" t="s">
        <v>85</v>
      </c>
      <c r="O71" s="7"/>
      <c r="P71" s="7"/>
    </row>
    <row r="72" spans="1:16" ht="13.8" x14ac:dyDescent="0.25">
      <c r="A72" s="111" t="s">
        <v>1342</v>
      </c>
      <c r="B72" s="29" t="s">
        <v>1736</v>
      </c>
      <c r="C72" s="30" t="s">
        <v>20</v>
      </c>
      <c r="D72" s="107" t="s">
        <v>338</v>
      </c>
      <c r="E72" s="29">
        <v>1</v>
      </c>
      <c r="F72" s="112" t="s">
        <v>894</v>
      </c>
      <c r="G72" s="155">
        <v>1</v>
      </c>
      <c r="H72" s="157" t="s">
        <v>14</v>
      </c>
      <c r="I72" s="113">
        <v>1455</v>
      </c>
      <c r="J72" s="90">
        <v>1525</v>
      </c>
      <c r="K72" s="29">
        <v>1.38</v>
      </c>
      <c r="L72" s="110">
        <v>1.38</v>
      </c>
      <c r="M72" s="110">
        <v>0.54</v>
      </c>
      <c r="N72" s="98" t="s">
        <v>85</v>
      </c>
      <c r="O72" s="7"/>
      <c r="P72" s="7"/>
    </row>
    <row r="73" spans="1:16" ht="13.8" x14ac:dyDescent="0.25">
      <c r="A73" s="111" t="s">
        <v>1342</v>
      </c>
      <c r="B73" s="29" t="s">
        <v>1736</v>
      </c>
      <c r="C73" s="30" t="s">
        <v>21</v>
      </c>
      <c r="D73" s="107" t="s">
        <v>338</v>
      </c>
      <c r="E73" s="29">
        <v>1</v>
      </c>
      <c r="F73" s="112" t="s">
        <v>342</v>
      </c>
      <c r="G73" s="155">
        <v>1</v>
      </c>
      <c r="H73" s="157" t="s">
        <v>14</v>
      </c>
      <c r="I73" s="113">
        <v>138</v>
      </c>
      <c r="J73" s="90">
        <v>138</v>
      </c>
      <c r="K73" s="86">
        <v>1.35</v>
      </c>
      <c r="L73" s="110">
        <v>1.35</v>
      </c>
      <c r="M73" s="110">
        <v>1.35</v>
      </c>
      <c r="N73" s="98" t="s">
        <v>85</v>
      </c>
      <c r="O73" s="7"/>
      <c r="P73" s="7"/>
    </row>
    <row r="74" spans="1:16" ht="39.6" x14ac:dyDescent="0.25">
      <c r="A74" s="111" t="s">
        <v>1342</v>
      </c>
      <c r="B74" s="29" t="s">
        <v>1736</v>
      </c>
      <c r="C74" s="30" t="s">
        <v>21</v>
      </c>
      <c r="D74" s="111" t="s">
        <v>343</v>
      </c>
      <c r="E74" s="109">
        <v>1</v>
      </c>
      <c r="F74" s="112" t="s">
        <v>344</v>
      </c>
      <c r="G74" s="155">
        <v>1</v>
      </c>
      <c r="H74" s="157" t="s">
        <v>14</v>
      </c>
      <c r="I74" s="113">
        <v>22180</v>
      </c>
      <c r="J74" s="90">
        <v>22180</v>
      </c>
      <c r="K74" s="107">
        <v>5.05</v>
      </c>
      <c r="L74" s="110">
        <v>1.97</v>
      </c>
      <c r="M74" s="110">
        <v>2.44</v>
      </c>
      <c r="N74" s="98" t="s">
        <v>349</v>
      </c>
      <c r="O74" s="7"/>
      <c r="P74" s="7"/>
    </row>
    <row r="75" spans="1:16" ht="13.8" x14ac:dyDescent="0.25">
      <c r="A75" s="111" t="s">
        <v>1342</v>
      </c>
      <c r="B75" s="29" t="s">
        <v>1736</v>
      </c>
      <c r="C75" s="30"/>
      <c r="D75" s="29"/>
      <c r="E75" s="29"/>
      <c r="F75" s="112"/>
      <c r="G75" s="155"/>
      <c r="H75" s="157"/>
      <c r="I75" s="115"/>
      <c r="J75" s="59"/>
      <c r="K75" s="86"/>
      <c r="L75" s="86"/>
      <c r="M75" s="86"/>
      <c r="N75" s="98"/>
      <c r="O75" s="7"/>
      <c r="P75" s="7"/>
    </row>
    <row r="76" spans="1:16" ht="13.8" x14ac:dyDescent="0.25">
      <c r="A76" s="111" t="s">
        <v>1342</v>
      </c>
      <c r="B76" s="29" t="s">
        <v>1736</v>
      </c>
      <c r="C76" s="30" t="s">
        <v>21</v>
      </c>
      <c r="D76" s="29" t="s">
        <v>261</v>
      </c>
      <c r="E76" s="29">
        <v>1</v>
      </c>
      <c r="F76" s="112" t="s">
        <v>262</v>
      </c>
      <c r="G76" s="155">
        <v>1</v>
      </c>
      <c r="H76" s="157" t="s">
        <v>14</v>
      </c>
      <c r="I76" s="113">
        <v>800</v>
      </c>
      <c r="J76" s="90">
        <v>800</v>
      </c>
      <c r="K76" s="90">
        <v>4.0999999999999996</v>
      </c>
      <c r="L76" s="110">
        <v>0.8</v>
      </c>
      <c r="M76" s="110">
        <v>0.8</v>
      </c>
      <c r="N76" s="98" t="s">
        <v>260</v>
      </c>
      <c r="O76" s="7"/>
      <c r="P76" s="7"/>
    </row>
    <row r="77" spans="1:16" ht="13.8" x14ac:dyDescent="0.25">
      <c r="A77" s="111" t="s">
        <v>1342</v>
      </c>
      <c r="B77" s="29" t="s">
        <v>1736</v>
      </c>
      <c r="C77" s="30" t="s">
        <v>21</v>
      </c>
      <c r="D77" s="29" t="s">
        <v>263</v>
      </c>
      <c r="E77" s="29">
        <v>1</v>
      </c>
      <c r="F77" s="112" t="s">
        <v>264</v>
      </c>
      <c r="G77" s="155">
        <v>1</v>
      </c>
      <c r="H77" s="157" t="s">
        <v>14</v>
      </c>
      <c r="I77" s="113">
        <v>6200</v>
      </c>
      <c r="J77" s="90">
        <v>6200</v>
      </c>
      <c r="K77" s="90">
        <v>7.7</v>
      </c>
      <c r="L77" s="90">
        <v>4.05</v>
      </c>
      <c r="M77" s="90">
        <v>4.4249999999999998</v>
      </c>
      <c r="N77" s="98" t="s">
        <v>260</v>
      </c>
      <c r="O77" s="7"/>
      <c r="P77" s="7"/>
    </row>
    <row r="78" spans="1:16" ht="13.8" x14ac:dyDescent="0.25">
      <c r="A78" s="111" t="s">
        <v>1342</v>
      </c>
      <c r="B78" s="29" t="s">
        <v>1736</v>
      </c>
      <c r="C78" s="30" t="s">
        <v>21</v>
      </c>
      <c r="D78" s="29" t="s">
        <v>265</v>
      </c>
      <c r="E78" s="29">
        <v>1</v>
      </c>
      <c r="F78" s="112" t="s">
        <v>266</v>
      </c>
      <c r="G78" s="155">
        <v>1</v>
      </c>
      <c r="H78" s="157" t="s">
        <v>14</v>
      </c>
      <c r="I78" s="113">
        <v>2500</v>
      </c>
      <c r="J78" s="90">
        <v>2500</v>
      </c>
      <c r="K78" s="90">
        <v>4.8</v>
      </c>
      <c r="L78" s="90">
        <v>2.4</v>
      </c>
      <c r="M78" s="90">
        <v>3.2</v>
      </c>
      <c r="N78" s="98" t="s">
        <v>260</v>
      </c>
      <c r="O78" s="7"/>
      <c r="P78" s="7"/>
    </row>
    <row r="79" spans="1:16" ht="13.8" x14ac:dyDescent="0.25">
      <c r="A79" s="111" t="s">
        <v>1342</v>
      </c>
      <c r="B79" s="29" t="s">
        <v>1736</v>
      </c>
      <c r="C79" s="30" t="s">
        <v>21</v>
      </c>
      <c r="D79" s="29" t="s">
        <v>29</v>
      </c>
      <c r="E79" s="29">
        <v>1</v>
      </c>
      <c r="F79" s="112" t="s">
        <v>267</v>
      </c>
      <c r="G79" s="155">
        <v>1</v>
      </c>
      <c r="H79" s="157" t="s">
        <v>14</v>
      </c>
      <c r="I79" s="113">
        <v>4000</v>
      </c>
      <c r="J79" s="90">
        <v>4000</v>
      </c>
      <c r="K79" s="90">
        <v>5.78</v>
      </c>
      <c r="L79" s="90">
        <v>3.18</v>
      </c>
      <c r="M79" s="90">
        <v>3.18</v>
      </c>
      <c r="N79" s="98" t="s">
        <v>260</v>
      </c>
      <c r="O79" s="7"/>
      <c r="P79" s="7"/>
    </row>
    <row r="80" spans="1:16" ht="26.4" x14ac:dyDescent="0.25">
      <c r="A80" s="111" t="s">
        <v>1342</v>
      </c>
      <c r="B80" s="29" t="s">
        <v>1736</v>
      </c>
      <c r="C80" s="30" t="s">
        <v>21</v>
      </c>
      <c r="D80" s="29" t="s">
        <v>268</v>
      </c>
      <c r="E80" s="29">
        <v>1</v>
      </c>
      <c r="F80" s="112" t="s">
        <v>269</v>
      </c>
      <c r="G80" s="229">
        <v>2</v>
      </c>
      <c r="H80" s="118" t="s">
        <v>14</v>
      </c>
      <c r="I80" s="113">
        <v>7500</v>
      </c>
      <c r="J80" s="90">
        <v>7500</v>
      </c>
      <c r="K80" s="90">
        <v>9.1999999999999993</v>
      </c>
      <c r="L80" s="90">
        <v>2.5</v>
      </c>
      <c r="M80" s="90">
        <v>2.5</v>
      </c>
      <c r="N80" s="98" t="s">
        <v>260</v>
      </c>
      <c r="O80" s="7"/>
      <c r="P80" s="7"/>
    </row>
    <row r="81" spans="1:16" ht="13.8" x14ac:dyDescent="0.25">
      <c r="A81" s="111" t="s">
        <v>1342</v>
      </c>
      <c r="B81" s="29" t="s">
        <v>1736</v>
      </c>
      <c r="C81" s="30" t="s">
        <v>21</v>
      </c>
      <c r="D81" s="29" t="s">
        <v>270</v>
      </c>
      <c r="E81" s="29">
        <v>1</v>
      </c>
      <c r="F81" s="112" t="s">
        <v>271</v>
      </c>
      <c r="G81" s="155">
        <v>1</v>
      </c>
      <c r="H81" s="157" t="s">
        <v>14</v>
      </c>
      <c r="I81" s="113">
        <v>2500</v>
      </c>
      <c r="J81" s="90">
        <v>2500</v>
      </c>
      <c r="K81" s="90">
        <v>3.6</v>
      </c>
      <c r="L81" s="90">
        <v>2</v>
      </c>
      <c r="M81" s="90">
        <v>2</v>
      </c>
      <c r="N81" s="98" t="s">
        <v>260</v>
      </c>
      <c r="O81" s="7"/>
      <c r="P81" s="7"/>
    </row>
    <row r="82" spans="1:16" ht="26.4" x14ac:dyDescent="0.25">
      <c r="A82" s="111" t="s">
        <v>1342</v>
      </c>
      <c r="B82" s="29" t="s">
        <v>1736</v>
      </c>
      <c r="C82" s="30" t="s">
        <v>21</v>
      </c>
      <c r="D82" s="29" t="s">
        <v>272</v>
      </c>
      <c r="E82" s="29">
        <v>1</v>
      </c>
      <c r="F82" s="112" t="s">
        <v>273</v>
      </c>
      <c r="G82" s="155">
        <v>1</v>
      </c>
      <c r="H82" s="157" t="s">
        <v>14</v>
      </c>
      <c r="I82" s="113">
        <v>4500</v>
      </c>
      <c r="J82" s="90">
        <v>4500</v>
      </c>
      <c r="K82" s="90">
        <v>8</v>
      </c>
      <c r="L82" s="90">
        <v>1.4</v>
      </c>
      <c r="M82" s="90">
        <v>1.4</v>
      </c>
      <c r="N82" s="98" t="s">
        <v>260</v>
      </c>
      <c r="O82" s="7"/>
      <c r="P82" s="7"/>
    </row>
    <row r="83" spans="1:16" ht="13.8" x14ac:dyDescent="0.25">
      <c r="A83" s="111" t="s">
        <v>1342</v>
      </c>
      <c r="B83" s="29" t="s">
        <v>1736</v>
      </c>
      <c r="C83" s="30" t="s">
        <v>21</v>
      </c>
      <c r="D83" s="29" t="s">
        <v>274</v>
      </c>
      <c r="E83" s="29">
        <v>1</v>
      </c>
      <c r="F83" s="112" t="s">
        <v>275</v>
      </c>
      <c r="G83" s="155">
        <v>1</v>
      </c>
      <c r="H83" s="157" t="s">
        <v>14</v>
      </c>
      <c r="I83" s="113">
        <v>1500</v>
      </c>
      <c r="J83" s="90">
        <v>1500</v>
      </c>
      <c r="K83" s="101">
        <v>3.42</v>
      </c>
      <c r="L83" s="101">
        <v>2.37</v>
      </c>
      <c r="M83" s="101">
        <v>1.6</v>
      </c>
      <c r="N83" s="98" t="s">
        <v>260</v>
      </c>
      <c r="O83" s="7"/>
      <c r="P83" s="7"/>
    </row>
    <row r="84" spans="1:16" ht="13.8" x14ac:dyDescent="0.25">
      <c r="A84" s="111" t="s">
        <v>1342</v>
      </c>
      <c r="B84" s="29" t="s">
        <v>1736</v>
      </c>
      <c r="C84" s="30" t="s">
        <v>21</v>
      </c>
      <c r="D84" s="29" t="s">
        <v>276</v>
      </c>
      <c r="E84" s="29">
        <v>1</v>
      </c>
      <c r="F84" s="112" t="s">
        <v>277</v>
      </c>
      <c r="G84" s="155">
        <v>1</v>
      </c>
      <c r="H84" s="157" t="s">
        <v>14</v>
      </c>
      <c r="I84" s="113">
        <v>1000</v>
      </c>
      <c r="J84" s="90">
        <v>1000</v>
      </c>
      <c r="K84" s="101">
        <v>3</v>
      </c>
      <c r="L84" s="101">
        <v>1.47</v>
      </c>
      <c r="M84" s="101">
        <v>0.7</v>
      </c>
      <c r="N84" s="98" t="s">
        <v>260</v>
      </c>
      <c r="O84" s="7"/>
      <c r="P84" s="7"/>
    </row>
    <row r="85" spans="1:16" ht="13.8" x14ac:dyDescent="0.25">
      <c r="A85" s="111" t="s">
        <v>1342</v>
      </c>
      <c r="B85" s="29" t="s">
        <v>1736</v>
      </c>
      <c r="C85" s="30" t="s">
        <v>21</v>
      </c>
      <c r="D85" s="29" t="s">
        <v>278</v>
      </c>
      <c r="E85" s="29">
        <v>1</v>
      </c>
      <c r="F85" s="112" t="s">
        <v>279</v>
      </c>
      <c r="G85" s="155">
        <v>1</v>
      </c>
      <c r="H85" s="157" t="s">
        <v>14</v>
      </c>
      <c r="I85" s="113">
        <v>850</v>
      </c>
      <c r="J85" s="90">
        <v>850</v>
      </c>
      <c r="K85" s="101">
        <v>5.13</v>
      </c>
      <c r="L85" s="101">
        <v>0.75</v>
      </c>
      <c r="M85" s="101">
        <v>0.75</v>
      </c>
      <c r="N85" s="98" t="s">
        <v>260</v>
      </c>
      <c r="O85" s="7"/>
      <c r="P85" s="7"/>
    </row>
    <row r="86" spans="1:16" ht="13.8" x14ac:dyDescent="0.25">
      <c r="A86" s="111" t="s">
        <v>1342</v>
      </c>
      <c r="B86" s="29" t="s">
        <v>1736</v>
      </c>
      <c r="C86" s="30" t="s">
        <v>21</v>
      </c>
      <c r="D86" s="29" t="s">
        <v>280</v>
      </c>
      <c r="E86" s="29">
        <v>1</v>
      </c>
      <c r="F86" s="112" t="s">
        <v>281</v>
      </c>
      <c r="G86" s="155">
        <v>1</v>
      </c>
      <c r="H86" s="157" t="s">
        <v>14</v>
      </c>
      <c r="I86" s="113">
        <v>1100</v>
      </c>
      <c r="J86" s="90">
        <v>1100</v>
      </c>
      <c r="K86" s="101">
        <v>6</v>
      </c>
      <c r="L86" s="101">
        <v>1.5</v>
      </c>
      <c r="M86" s="101">
        <v>1</v>
      </c>
      <c r="N86" s="98" t="s">
        <v>260</v>
      </c>
      <c r="O86" s="7"/>
      <c r="P86" s="7"/>
    </row>
    <row r="87" spans="1:16" ht="13.8" x14ac:dyDescent="0.25">
      <c r="A87" s="111" t="s">
        <v>1342</v>
      </c>
      <c r="B87" s="29" t="s">
        <v>1736</v>
      </c>
      <c r="C87" s="30" t="s">
        <v>21</v>
      </c>
      <c r="D87" s="29" t="s">
        <v>32</v>
      </c>
      <c r="E87" s="29">
        <v>1</v>
      </c>
      <c r="F87" s="112" t="s">
        <v>282</v>
      </c>
      <c r="G87" s="155">
        <v>1</v>
      </c>
      <c r="H87" s="157" t="s">
        <v>14</v>
      </c>
      <c r="I87" s="113">
        <v>11000</v>
      </c>
      <c r="J87" s="90">
        <v>11000</v>
      </c>
      <c r="K87" s="90">
        <v>7.15</v>
      </c>
      <c r="L87" s="90">
        <v>1.8</v>
      </c>
      <c r="M87" s="90">
        <v>2.35</v>
      </c>
      <c r="N87" s="98" t="s">
        <v>260</v>
      </c>
      <c r="O87" s="7"/>
      <c r="P87" s="7"/>
    </row>
    <row r="88" spans="1:16" ht="13.8" x14ac:dyDescent="0.25">
      <c r="A88" s="111" t="s">
        <v>1342</v>
      </c>
      <c r="B88" s="29" t="s">
        <v>1736</v>
      </c>
      <c r="C88" s="30" t="s">
        <v>21</v>
      </c>
      <c r="D88" s="29" t="s">
        <v>283</v>
      </c>
      <c r="E88" s="29">
        <v>1</v>
      </c>
      <c r="F88" s="112" t="s">
        <v>284</v>
      </c>
      <c r="G88" s="155">
        <v>1</v>
      </c>
      <c r="H88" s="157" t="s">
        <v>14</v>
      </c>
      <c r="I88" s="113">
        <v>7000</v>
      </c>
      <c r="J88" s="90">
        <v>7000</v>
      </c>
      <c r="K88" s="90">
        <v>7</v>
      </c>
      <c r="L88" s="90">
        <v>1.4</v>
      </c>
      <c r="M88" s="90">
        <v>1.9</v>
      </c>
      <c r="N88" s="98" t="s">
        <v>260</v>
      </c>
      <c r="O88" s="7"/>
      <c r="P88" s="7"/>
    </row>
    <row r="89" spans="1:16" ht="13.8" x14ac:dyDescent="0.25">
      <c r="A89" s="111" t="s">
        <v>1342</v>
      </c>
      <c r="B89" s="29" t="s">
        <v>1736</v>
      </c>
      <c r="C89" s="30" t="s">
        <v>21</v>
      </c>
      <c r="D89" s="29" t="s">
        <v>33</v>
      </c>
      <c r="E89" s="29">
        <v>1</v>
      </c>
      <c r="F89" s="112" t="s">
        <v>285</v>
      </c>
      <c r="G89" s="155">
        <v>1</v>
      </c>
      <c r="H89" s="157" t="s">
        <v>14</v>
      </c>
      <c r="I89" s="113">
        <v>8000</v>
      </c>
      <c r="J89" s="90">
        <v>8000</v>
      </c>
      <c r="K89" s="90">
        <v>7.15</v>
      </c>
      <c r="L89" s="90">
        <v>1.6</v>
      </c>
      <c r="M89" s="90">
        <v>2.15</v>
      </c>
      <c r="N89" s="98" t="s">
        <v>260</v>
      </c>
      <c r="O89" s="7"/>
      <c r="P89" s="7"/>
    </row>
    <row r="90" spans="1:16" ht="13.8" x14ac:dyDescent="0.25">
      <c r="A90" s="111" t="s">
        <v>1342</v>
      </c>
      <c r="B90" s="29" t="s">
        <v>1736</v>
      </c>
      <c r="C90" s="30" t="s">
        <v>21</v>
      </c>
      <c r="D90" s="29" t="s">
        <v>34</v>
      </c>
      <c r="E90" s="29">
        <v>1</v>
      </c>
      <c r="F90" s="112" t="s">
        <v>286</v>
      </c>
      <c r="G90" s="155">
        <v>1</v>
      </c>
      <c r="H90" s="157" t="s">
        <v>14</v>
      </c>
      <c r="I90" s="113">
        <v>5000</v>
      </c>
      <c r="J90" s="90">
        <v>5000</v>
      </c>
      <c r="K90" s="90">
        <v>7.19</v>
      </c>
      <c r="L90" s="90">
        <v>1.2</v>
      </c>
      <c r="M90" s="90">
        <v>1.7</v>
      </c>
      <c r="N90" s="98" t="s">
        <v>260</v>
      </c>
      <c r="O90" s="7"/>
      <c r="P90" s="7"/>
    </row>
    <row r="91" spans="1:16" ht="13.8" x14ac:dyDescent="0.25">
      <c r="A91" s="111" t="s">
        <v>1342</v>
      </c>
      <c r="B91" s="29" t="s">
        <v>1736</v>
      </c>
      <c r="C91" s="30" t="s">
        <v>21</v>
      </c>
      <c r="D91" s="29" t="s">
        <v>287</v>
      </c>
      <c r="E91" s="29">
        <v>1</v>
      </c>
      <c r="F91" s="112" t="s">
        <v>286</v>
      </c>
      <c r="G91" s="155">
        <v>1</v>
      </c>
      <c r="H91" s="157" t="s">
        <v>14</v>
      </c>
      <c r="I91" s="113">
        <v>2000</v>
      </c>
      <c r="J91" s="90">
        <v>2000</v>
      </c>
      <c r="K91" s="101">
        <v>6.5</v>
      </c>
      <c r="L91" s="101">
        <v>1</v>
      </c>
      <c r="M91" s="101">
        <v>1.2</v>
      </c>
      <c r="N91" s="98" t="s">
        <v>260</v>
      </c>
      <c r="O91" s="7"/>
      <c r="P91" s="7"/>
    </row>
    <row r="92" spans="1:16" ht="26.4" x14ac:dyDescent="0.25">
      <c r="A92" s="111" t="s">
        <v>1342</v>
      </c>
      <c r="B92" s="29" t="s">
        <v>1736</v>
      </c>
      <c r="C92" s="30" t="s">
        <v>21</v>
      </c>
      <c r="D92" s="29" t="s">
        <v>58</v>
      </c>
      <c r="E92" s="29">
        <v>1</v>
      </c>
      <c r="F92" s="112" t="s">
        <v>288</v>
      </c>
      <c r="G92" s="229">
        <v>2</v>
      </c>
      <c r="H92" s="118" t="s">
        <v>14</v>
      </c>
      <c r="I92" s="113">
        <v>1800</v>
      </c>
      <c r="J92" s="90">
        <v>1800</v>
      </c>
      <c r="K92" s="90">
        <v>12.1</v>
      </c>
      <c r="L92" s="90">
        <v>1.3</v>
      </c>
      <c r="M92" s="90">
        <v>1.3</v>
      </c>
      <c r="N92" s="98" t="s">
        <v>260</v>
      </c>
      <c r="O92" s="7"/>
      <c r="P92" s="7"/>
    </row>
    <row r="93" spans="1:16" ht="13.8" x14ac:dyDescent="0.25">
      <c r="A93" s="111" t="s">
        <v>1342</v>
      </c>
      <c r="B93" s="29" t="s">
        <v>1736</v>
      </c>
      <c r="C93" s="30" t="s">
        <v>21</v>
      </c>
      <c r="D93" s="29" t="s">
        <v>40</v>
      </c>
      <c r="E93" s="29">
        <v>1</v>
      </c>
      <c r="F93" s="112" t="s">
        <v>289</v>
      </c>
      <c r="G93" s="155">
        <v>1</v>
      </c>
      <c r="H93" s="157" t="s">
        <v>14</v>
      </c>
      <c r="I93" s="113">
        <v>1800</v>
      </c>
      <c r="J93" s="90">
        <v>1800</v>
      </c>
      <c r="K93" s="101">
        <v>7.5</v>
      </c>
      <c r="L93" s="101">
        <v>1</v>
      </c>
      <c r="M93" s="101">
        <v>1</v>
      </c>
      <c r="N93" s="98" t="s">
        <v>260</v>
      </c>
      <c r="O93" s="7"/>
      <c r="P93" s="7"/>
    </row>
    <row r="94" spans="1:16" ht="13.8" x14ac:dyDescent="0.25">
      <c r="A94" s="111" t="s">
        <v>1342</v>
      </c>
      <c r="B94" s="29" t="s">
        <v>1736</v>
      </c>
      <c r="C94" s="30" t="s">
        <v>21</v>
      </c>
      <c r="D94" s="29" t="s">
        <v>290</v>
      </c>
      <c r="E94" s="29">
        <v>1</v>
      </c>
      <c r="F94" s="112" t="s">
        <v>291</v>
      </c>
      <c r="G94" s="229">
        <v>1</v>
      </c>
      <c r="H94" s="118" t="s">
        <v>14</v>
      </c>
      <c r="I94" s="113">
        <v>1200</v>
      </c>
      <c r="J94" s="90">
        <v>1200</v>
      </c>
      <c r="K94" s="101">
        <v>7.76</v>
      </c>
      <c r="L94" s="101">
        <v>1.34</v>
      </c>
      <c r="M94" s="101">
        <v>0.8</v>
      </c>
      <c r="N94" s="98" t="s">
        <v>260</v>
      </c>
      <c r="O94" s="7"/>
      <c r="P94" s="7"/>
    </row>
    <row r="95" spans="1:16" ht="13.8" x14ac:dyDescent="0.25">
      <c r="A95" s="111" t="s">
        <v>1342</v>
      </c>
      <c r="B95" s="29" t="s">
        <v>1736</v>
      </c>
      <c r="C95" s="30" t="s">
        <v>21</v>
      </c>
      <c r="D95" s="29" t="s">
        <v>41</v>
      </c>
      <c r="E95" s="29">
        <v>1</v>
      </c>
      <c r="F95" s="112" t="s">
        <v>292</v>
      </c>
      <c r="G95" s="155">
        <v>1</v>
      </c>
      <c r="H95" s="157" t="s">
        <v>14</v>
      </c>
      <c r="I95" s="113">
        <v>1000</v>
      </c>
      <c r="J95" s="90">
        <v>1000</v>
      </c>
      <c r="K95" s="101">
        <v>5.4</v>
      </c>
      <c r="L95" s="101">
        <v>0.7</v>
      </c>
      <c r="M95" s="101">
        <v>0.7</v>
      </c>
      <c r="N95" s="98" t="s">
        <v>260</v>
      </c>
      <c r="O95" s="7"/>
      <c r="P95" s="7"/>
    </row>
    <row r="96" spans="1:16" ht="13.8" x14ac:dyDescent="0.25">
      <c r="A96" s="111" t="s">
        <v>1342</v>
      </c>
      <c r="B96" s="29" t="s">
        <v>1736</v>
      </c>
      <c r="C96" s="30" t="s">
        <v>21</v>
      </c>
      <c r="D96" s="29" t="s">
        <v>293</v>
      </c>
      <c r="E96" s="29">
        <v>1</v>
      </c>
      <c r="F96" s="114" t="s">
        <v>294</v>
      </c>
      <c r="G96" s="229">
        <v>1</v>
      </c>
      <c r="H96" s="118" t="s">
        <v>14</v>
      </c>
      <c r="I96" s="113">
        <v>1350</v>
      </c>
      <c r="J96" s="90">
        <v>1350</v>
      </c>
      <c r="K96" s="90">
        <v>7.29</v>
      </c>
      <c r="L96" s="90">
        <v>2.37</v>
      </c>
      <c r="M96" s="90">
        <v>2.74</v>
      </c>
      <c r="N96" s="98" t="s">
        <v>260</v>
      </c>
      <c r="O96" s="7"/>
      <c r="P96" s="7"/>
    </row>
    <row r="97" spans="1:16" ht="13.8" x14ac:dyDescent="0.25">
      <c r="A97" s="111" t="s">
        <v>1342</v>
      </c>
      <c r="B97" s="29" t="s">
        <v>1736</v>
      </c>
      <c r="C97" s="30" t="s">
        <v>21</v>
      </c>
      <c r="D97" s="29" t="s">
        <v>295</v>
      </c>
      <c r="E97" s="29">
        <v>1</v>
      </c>
      <c r="F97" s="114" t="s">
        <v>294</v>
      </c>
      <c r="G97" s="155">
        <v>1</v>
      </c>
      <c r="H97" s="157" t="s">
        <v>14</v>
      </c>
      <c r="I97" s="113">
        <v>1350</v>
      </c>
      <c r="J97" s="90">
        <v>1350</v>
      </c>
      <c r="K97" s="90">
        <v>7.29</v>
      </c>
      <c r="L97" s="90">
        <v>2.37</v>
      </c>
      <c r="M97" s="90">
        <v>2.74</v>
      </c>
      <c r="N97" s="98" t="s">
        <v>260</v>
      </c>
      <c r="O97" s="7"/>
      <c r="P97" s="7"/>
    </row>
    <row r="98" spans="1:16" ht="13.8" x14ac:dyDescent="0.25">
      <c r="A98" s="111" t="s">
        <v>1342</v>
      </c>
      <c r="B98" s="29" t="s">
        <v>1736</v>
      </c>
      <c r="C98" s="30" t="s">
        <v>21</v>
      </c>
      <c r="D98" s="29" t="s">
        <v>38</v>
      </c>
      <c r="E98" s="29">
        <v>1</v>
      </c>
      <c r="F98" s="114" t="s">
        <v>294</v>
      </c>
      <c r="G98" s="229">
        <v>1</v>
      </c>
      <c r="H98" s="118" t="s">
        <v>14</v>
      </c>
      <c r="I98" s="113">
        <v>1350</v>
      </c>
      <c r="J98" s="90">
        <v>1350</v>
      </c>
      <c r="K98" s="90">
        <v>7.29</v>
      </c>
      <c r="L98" s="90">
        <v>2.37</v>
      </c>
      <c r="M98" s="90">
        <v>2.74</v>
      </c>
      <c r="N98" s="98" t="s">
        <v>260</v>
      </c>
      <c r="O98" s="7"/>
      <c r="P98" s="7"/>
    </row>
    <row r="99" spans="1:16" ht="13.8" x14ac:dyDescent="0.25">
      <c r="A99" s="111" t="s">
        <v>1342</v>
      </c>
      <c r="B99" s="29" t="s">
        <v>1736</v>
      </c>
      <c r="C99" s="30" t="s">
        <v>21</v>
      </c>
      <c r="D99" s="29" t="s">
        <v>31</v>
      </c>
      <c r="E99" s="29">
        <v>1</v>
      </c>
      <c r="F99" s="112" t="s">
        <v>353</v>
      </c>
      <c r="G99" s="155">
        <v>1</v>
      </c>
      <c r="H99" s="157" t="s">
        <v>14</v>
      </c>
      <c r="I99" s="113">
        <v>7000</v>
      </c>
      <c r="J99" s="90">
        <v>7000</v>
      </c>
      <c r="K99" s="90">
        <v>4.5999999999999996</v>
      </c>
      <c r="L99" s="90">
        <v>3.7</v>
      </c>
      <c r="M99" s="90">
        <v>3.7</v>
      </c>
      <c r="N99" s="98" t="s">
        <v>260</v>
      </c>
      <c r="O99" s="7"/>
      <c r="P99" s="7"/>
    </row>
    <row r="100" spans="1:16" ht="13.8" x14ac:dyDescent="0.25">
      <c r="A100" s="111" t="s">
        <v>1342</v>
      </c>
      <c r="B100" s="29" t="s">
        <v>1736</v>
      </c>
      <c r="C100" s="30" t="s">
        <v>21</v>
      </c>
      <c r="D100" s="29" t="s">
        <v>31</v>
      </c>
      <c r="E100" s="29">
        <v>1</v>
      </c>
      <c r="F100" s="112" t="s">
        <v>354</v>
      </c>
      <c r="G100" s="155">
        <v>1</v>
      </c>
      <c r="H100" s="157" t="s">
        <v>14</v>
      </c>
      <c r="I100" s="113">
        <v>15000</v>
      </c>
      <c r="J100" s="90">
        <v>15000</v>
      </c>
      <c r="K100" s="90">
        <v>7.75</v>
      </c>
      <c r="L100" s="90">
        <v>2</v>
      </c>
      <c r="M100" s="90">
        <v>2.35</v>
      </c>
      <c r="N100" s="98" t="s">
        <v>260</v>
      </c>
      <c r="O100" s="7"/>
      <c r="P100" s="7"/>
    </row>
    <row r="101" spans="1:16" ht="13.8" x14ac:dyDescent="0.25">
      <c r="A101" s="111" t="s">
        <v>1342</v>
      </c>
      <c r="B101" s="29" t="s">
        <v>1736</v>
      </c>
      <c r="C101" s="30"/>
      <c r="D101" s="29"/>
      <c r="E101" s="29"/>
      <c r="F101" s="114"/>
      <c r="G101" s="229"/>
      <c r="H101" s="118"/>
      <c r="I101" s="113"/>
      <c r="J101" s="90"/>
      <c r="K101" s="90"/>
      <c r="L101" s="90"/>
      <c r="M101" s="90"/>
      <c r="N101" s="98"/>
      <c r="O101" s="7"/>
      <c r="P101" s="7"/>
    </row>
    <row r="102" spans="1:16" ht="13.8" x14ac:dyDescent="0.25">
      <c r="A102" s="111" t="s">
        <v>1342</v>
      </c>
      <c r="B102" s="29" t="s">
        <v>1736</v>
      </c>
      <c r="C102" s="30" t="s">
        <v>21</v>
      </c>
      <c r="D102" s="29" t="s">
        <v>315</v>
      </c>
      <c r="E102" s="29">
        <v>1</v>
      </c>
      <c r="F102" s="112" t="s">
        <v>316</v>
      </c>
      <c r="G102" s="155">
        <v>1</v>
      </c>
      <c r="H102" s="157" t="s">
        <v>14</v>
      </c>
      <c r="I102" s="113">
        <v>140</v>
      </c>
      <c r="J102" s="90">
        <v>140</v>
      </c>
      <c r="K102" s="86">
        <v>1</v>
      </c>
      <c r="L102" s="86">
        <v>0.4</v>
      </c>
      <c r="M102" s="86">
        <v>0.4</v>
      </c>
      <c r="N102" s="98" t="s">
        <v>260</v>
      </c>
      <c r="O102" s="7"/>
      <c r="P102" s="7"/>
    </row>
    <row r="103" spans="1:16" ht="13.8" x14ac:dyDescent="0.25">
      <c r="A103" s="111" t="s">
        <v>1342</v>
      </c>
      <c r="B103" s="29" t="s">
        <v>1736</v>
      </c>
      <c r="C103" s="30" t="s">
        <v>21</v>
      </c>
      <c r="D103" s="29" t="s">
        <v>317</v>
      </c>
      <c r="E103" s="29">
        <v>1</v>
      </c>
      <c r="F103" s="112" t="s">
        <v>318</v>
      </c>
      <c r="G103" s="155">
        <v>1</v>
      </c>
      <c r="H103" s="157" t="s">
        <v>14</v>
      </c>
      <c r="I103" s="117">
        <v>40</v>
      </c>
      <c r="J103" s="29">
        <v>40</v>
      </c>
      <c r="K103" s="86">
        <v>1</v>
      </c>
      <c r="L103" s="86">
        <v>0.4</v>
      </c>
      <c r="M103" s="86">
        <v>0.3</v>
      </c>
      <c r="N103" s="98" t="s">
        <v>260</v>
      </c>
      <c r="O103" s="7"/>
      <c r="P103" s="7"/>
    </row>
    <row r="104" spans="1:16" ht="13.8" x14ac:dyDescent="0.25">
      <c r="A104" s="111" t="s">
        <v>1342</v>
      </c>
      <c r="B104" s="29" t="s">
        <v>1736</v>
      </c>
      <c r="C104" s="30" t="s">
        <v>21</v>
      </c>
      <c r="D104" s="29" t="s">
        <v>319</v>
      </c>
      <c r="E104" s="29">
        <v>1</v>
      </c>
      <c r="F104" s="112" t="s">
        <v>318</v>
      </c>
      <c r="G104" s="155">
        <v>1</v>
      </c>
      <c r="H104" s="157" t="s">
        <v>14</v>
      </c>
      <c r="I104" s="117">
        <v>40</v>
      </c>
      <c r="J104" s="29">
        <v>40</v>
      </c>
      <c r="K104" s="86">
        <v>1</v>
      </c>
      <c r="L104" s="86">
        <v>0.4</v>
      </c>
      <c r="M104" s="86">
        <v>0.3</v>
      </c>
      <c r="N104" s="98" t="s">
        <v>260</v>
      </c>
      <c r="O104" s="7"/>
      <c r="P104" s="7"/>
    </row>
    <row r="105" spans="1:16" ht="13.8" x14ac:dyDescent="0.25">
      <c r="A105" s="111" t="s">
        <v>1342</v>
      </c>
      <c r="B105" s="29" t="s">
        <v>1736</v>
      </c>
      <c r="C105" s="30" t="s">
        <v>21</v>
      </c>
      <c r="D105" s="29" t="s">
        <v>320</v>
      </c>
      <c r="E105" s="29">
        <v>1</v>
      </c>
      <c r="F105" s="112" t="s">
        <v>321</v>
      </c>
      <c r="G105" s="155">
        <v>1</v>
      </c>
      <c r="H105" s="157" t="s">
        <v>14</v>
      </c>
      <c r="I105" s="117">
        <v>30</v>
      </c>
      <c r="J105" s="29">
        <v>30</v>
      </c>
      <c r="K105" s="86">
        <v>0.93</v>
      </c>
      <c r="L105" s="86">
        <v>0.4</v>
      </c>
      <c r="M105" s="86">
        <v>0.37</v>
      </c>
      <c r="N105" s="98" t="s">
        <v>260</v>
      </c>
      <c r="O105" s="7"/>
      <c r="P105" s="7"/>
    </row>
    <row r="106" spans="1:16" ht="13.8" x14ac:dyDescent="0.25">
      <c r="A106" s="111" t="s">
        <v>1342</v>
      </c>
      <c r="B106" s="29" t="s">
        <v>1736</v>
      </c>
      <c r="C106" s="30" t="s">
        <v>21</v>
      </c>
      <c r="D106" s="29" t="s">
        <v>274</v>
      </c>
      <c r="E106" s="29">
        <v>1</v>
      </c>
      <c r="F106" s="112" t="s">
        <v>322</v>
      </c>
      <c r="G106" s="155">
        <v>1</v>
      </c>
      <c r="H106" s="157" t="s">
        <v>14</v>
      </c>
      <c r="I106" s="113">
        <v>1500</v>
      </c>
      <c r="J106" s="90">
        <v>1500</v>
      </c>
      <c r="K106" s="86">
        <v>3.42</v>
      </c>
      <c r="L106" s="86">
        <v>2.37</v>
      </c>
      <c r="M106" s="86">
        <v>1.6</v>
      </c>
      <c r="N106" s="98" t="s">
        <v>260</v>
      </c>
      <c r="O106" s="7"/>
      <c r="P106" s="7"/>
    </row>
    <row r="107" spans="1:16" ht="13.8" x14ac:dyDescent="0.25">
      <c r="A107" s="111" t="s">
        <v>1342</v>
      </c>
      <c r="B107" s="29" t="s">
        <v>1736</v>
      </c>
      <c r="C107" s="30" t="s">
        <v>21</v>
      </c>
      <c r="D107" s="29" t="s">
        <v>276</v>
      </c>
      <c r="E107" s="29">
        <v>1</v>
      </c>
      <c r="F107" s="112" t="s">
        <v>323</v>
      </c>
      <c r="G107" s="155">
        <v>1</v>
      </c>
      <c r="H107" s="157" t="s">
        <v>14</v>
      </c>
      <c r="I107" s="113">
        <v>1000</v>
      </c>
      <c r="J107" s="90">
        <v>1000</v>
      </c>
      <c r="K107" s="86">
        <v>3</v>
      </c>
      <c r="L107" s="86">
        <v>1.47</v>
      </c>
      <c r="M107" s="86">
        <v>0.7</v>
      </c>
      <c r="N107" s="98" t="s">
        <v>260</v>
      </c>
      <c r="O107" s="7"/>
      <c r="P107" s="7"/>
    </row>
    <row r="108" spans="1:16" ht="13.8" x14ac:dyDescent="0.25">
      <c r="A108" s="111" t="s">
        <v>1342</v>
      </c>
      <c r="B108" s="29" t="s">
        <v>1736</v>
      </c>
      <c r="C108" s="30" t="s">
        <v>21</v>
      </c>
      <c r="D108" s="29" t="s">
        <v>280</v>
      </c>
      <c r="E108" s="29">
        <v>1</v>
      </c>
      <c r="F108" s="112" t="s">
        <v>324</v>
      </c>
      <c r="G108" s="155">
        <v>1</v>
      </c>
      <c r="H108" s="157" t="s">
        <v>14</v>
      </c>
      <c r="I108" s="113">
        <v>1100</v>
      </c>
      <c r="J108" s="90">
        <v>1100</v>
      </c>
      <c r="K108" s="86">
        <v>6</v>
      </c>
      <c r="L108" s="86">
        <v>1.5</v>
      </c>
      <c r="M108" s="86">
        <v>1</v>
      </c>
      <c r="N108" s="98" t="s">
        <v>260</v>
      </c>
      <c r="O108" s="7"/>
      <c r="P108" s="7"/>
    </row>
    <row r="109" spans="1:16" ht="13.8" x14ac:dyDescent="0.25">
      <c r="A109" s="111" t="s">
        <v>1342</v>
      </c>
      <c r="B109" s="29" t="s">
        <v>1736</v>
      </c>
      <c r="C109" s="30" t="s">
        <v>21</v>
      </c>
      <c r="D109" s="29" t="s">
        <v>278</v>
      </c>
      <c r="E109" s="29">
        <v>1</v>
      </c>
      <c r="F109" s="112" t="s">
        <v>325</v>
      </c>
      <c r="G109" s="155">
        <v>1</v>
      </c>
      <c r="H109" s="157" t="s">
        <v>14</v>
      </c>
      <c r="I109" s="117">
        <v>850</v>
      </c>
      <c r="J109" s="29">
        <v>850</v>
      </c>
      <c r="K109" s="86">
        <v>5.13</v>
      </c>
      <c r="L109" s="86">
        <v>0.75</v>
      </c>
      <c r="M109" s="86">
        <v>0.75</v>
      </c>
      <c r="N109" s="98" t="s">
        <v>260</v>
      </c>
      <c r="O109" s="7"/>
      <c r="P109" s="7"/>
    </row>
    <row r="110" spans="1:16" ht="13.8" x14ac:dyDescent="0.25">
      <c r="A110" s="111" t="s">
        <v>1342</v>
      </c>
      <c r="B110" s="29" t="s">
        <v>1736</v>
      </c>
      <c r="C110" s="30" t="s">
        <v>21</v>
      </c>
      <c r="D110" s="29" t="s">
        <v>23</v>
      </c>
      <c r="E110" s="29">
        <v>1</v>
      </c>
      <c r="F110" s="112" t="s">
        <v>326</v>
      </c>
      <c r="G110" s="155">
        <v>1</v>
      </c>
      <c r="H110" s="157" t="s">
        <v>14</v>
      </c>
      <c r="I110" s="117">
        <v>800</v>
      </c>
      <c r="J110" s="29">
        <v>800</v>
      </c>
      <c r="K110" s="86">
        <v>4.0999999999999996</v>
      </c>
      <c r="L110" s="86">
        <v>0.8</v>
      </c>
      <c r="M110" s="86">
        <v>0.8</v>
      </c>
      <c r="N110" s="98" t="s">
        <v>260</v>
      </c>
      <c r="O110" s="7"/>
      <c r="P110" s="7"/>
    </row>
    <row r="111" spans="1:16" ht="13.8" x14ac:dyDescent="0.25">
      <c r="A111" s="111" t="s">
        <v>1342</v>
      </c>
      <c r="B111" s="29" t="s">
        <v>1736</v>
      </c>
      <c r="C111" s="30" t="s">
        <v>21</v>
      </c>
      <c r="D111" s="29" t="s">
        <v>327</v>
      </c>
      <c r="E111" s="29">
        <v>1</v>
      </c>
      <c r="F111" s="112" t="s">
        <v>325</v>
      </c>
      <c r="G111" s="155">
        <v>1</v>
      </c>
      <c r="H111" s="157" t="s">
        <v>14</v>
      </c>
      <c r="I111" s="117">
        <v>700</v>
      </c>
      <c r="J111" s="29">
        <v>700</v>
      </c>
      <c r="K111" s="86">
        <v>2.35</v>
      </c>
      <c r="L111" s="86">
        <v>0.82</v>
      </c>
      <c r="M111" s="86">
        <v>0.43</v>
      </c>
      <c r="N111" s="98" t="s">
        <v>260</v>
      </c>
      <c r="O111" s="7"/>
      <c r="P111" s="7"/>
    </row>
    <row r="112" spans="1:16" ht="13.8" x14ac:dyDescent="0.25">
      <c r="A112" s="111" t="s">
        <v>1342</v>
      </c>
      <c r="B112" s="29" t="s">
        <v>1736</v>
      </c>
      <c r="C112" s="30" t="s">
        <v>21</v>
      </c>
      <c r="D112" s="29" t="s">
        <v>328</v>
      </c>
      <c r="E112" s="29">
        <v>1</v>
      </c>
      <c r="F112" s="112" t="s">
        <v>329</v>
      </c>
      <c r="G112" s="155">
        <v>1</v>
      </c>
      <c r="H112" s="157" t="s">
        <v>14</v>
      </c>
      <c r="I112" s="113">
        <v>2000</v>
      </c>
      <c r="J112" s="90">
        <v>2000</v>
      </c>
      <c r="K112" s="86">
        <v>3.35</v>
      </c>
      <c r="L112" s="86">
        <v>1.6</v>
      </c>
      <c r="M112" s="86">
        <v>1.6</v>
      </c>
      <c r="N112" s="98" t="s">
        <v>260</v>
      </c>
      <c r="O112" s="7"/>
      <c r="P112" s="7"/>
    </row>
    <row r="113" spans="1:16" ht="13.8" x14ac:dyDescent="0.25">
      <c r="A113" s="111" t="s">
        <v>1342</v>
      </c>
      <c r="B113" s="29" t="s">
        <v>1736</v>
      </c>
      <c r="C113" s="30" t="s">
        <v>21</v>
      </c>
      <c r="D113" s="29" t="s">
        <v>330</v>
      </c>
      <c r="E113" s="29"/>
      <c r="F113" s="112" t="s">
        <v>331</v>
      </c>
      <c r="G113" s="155">
        <v>6</v>
      </c>
      <c r="H113" s="157" t="s">
        <v>14</v>
      </c>
      <c r="I113" s="117">
        <v>500</v>
      </c>
      <c r="J113" s="29">
        <v>530</v>
      </c>
      <c r="K113" s="86">
        <v>0.8</v>
      </c>
      <c r="L113" s="86">
        <v>0.6</v>
      </c>
      <c r="M113" s="86">
        <v>0.8</v>
      </c>
      <c r="N113" s="98" t="s">
        <v>260</v>
      </c>
      <c r="O113" s="7"/>
      <c r="P113" s="7"/>
    </row>
    <row r="114" spans="1:16" ht="13.8" x14ac:dyDescent="0.25">
      <c r="A114" s="111" t="s">
        <v>1342</v>
      </c>
      <c r="B114" s="29" t="s">
        <v>1736</v>
      </c>
      <c r="C114" s="30" t="s">
        <v>18</v>
      </c>
      <c r="D114" s="29" t="s">
        <v>332</v>
      </c>
      <c r="E114" s="29">
        <v>1</v>
      </c>
      <c r="F114" s="112" t="s">
        <v>333</v>
      </c>
      <c r="G114" s="229">
        <v>2</v>
      </c>
      <c r="H114" s="118" t="s">
        <v>14</v>
      </c>
      <c r="I114" s="113">
        <v>630</v>
      </c>
      <c r="J114" s="90">
        <v>665</v>
      </c>
      <c r="K114" s="86">
        <v>1.5</v>
      </c>
      <c r="L114" s="86">
        <v>1.5</v>
      </c>
      <c r="M114" s="86">
        <v>0.7</v>
      </c>
      <c r="N114" s="98" t="s">
        <v>351</v>
      </c>
      <c r="O114" s="7"/>
      <c r="P114" s="7"/>
    </row>
    <row r="115" spans="1:16" ht="13.8" x14ac:dyDescent="0.25">
      <c r="A115" s="111" t="s">
        <v>1342</v>
      </c>
      <c r="B115" s="29" t="s">
        <v>1736</v>
      </c>
      <c r="C115" s="30" t="s">
        <v>21</v>
      </c>
      <c r="D115" s="29" t="s">
        <v>189</v>
      </c>
      <c r="E115" s="109">
        <v>1</v>
      </c>
      <c r="F115" s="112" t="s">
        <v>190</v>
      </c>
      <c r="G115" s="155">
        <v>1</v>
      </c>
      <c r="H115" s="157" t="s">
        <v>14</v>
      </c>
      <c r="I115" s="113">
        <v>2020</v>
      </c>
      <c r="J115" s="90">
        <v>2020</v>
      </c>
      <c r="K115" s="86">
        <v>5.7</v>
      </c>
      <c r="L115" s="86">
        <v>2.23</v>
      </c>
      <c r="M115" s="86">
        <v>2.58</v>
      </c>
      <c r="N115" s="98" t="s">
        <v>260</v>
      </c>
      <c r="O115" s="7"/>
      <c r="P115" s="7"/>
    </row>
    <row r="116" spans="1:16" ht="13.8" x14ac:dyDescent="0.25">
      <c r="A116" s="111" t="s">
        <v>1342</v>
      </c>
      <c r="B116" s="29" t="s">
        <v>1736</v>
      </c>
      <c r="C116" s="30" t="s">
        <v>21</v>
      </c>
      <c r="D116" s="105" t="s">
        <v>191</v>
      </c>
      <c r="E116" s="109">
        <v>1</v>
      </c>
      <c r="F116" s="112" t="s">
        <v>192</v>
      </c>
      <c r="G116" s="155">
        <v>1</v>
      </c>
      <c r="H116" s="157" t="s">
        <v>14</v>
      </c>
      <c r="I116" s="113">
        <v>850</v>
      </c>
      <c r="J116" s="90">
        <v>850</v>
      </c>
      <c r="K116" s="86">
        <v>2.96</v>
      </c>
      <c r="L116" s="86">
        <v>1.7</v>
      </c>
      <c r="M116" s="86">
        <v>1.8</v>
      </c>
      <c r="N116" s="98" t="s">
        <v>260</v>
      </c>
      <c r="O116" s="7"/>
      <c r="P116" s="7"/>
    </row>
    <row r="117" spans="1:16" ht="13.8" x14ac:dyDescent="0.25">
      <c r="A117" s="111" t="s">
        <v>1342</v>
      </c>
      <c r="B117" s="29" t="s">
        <v>1736</v>
      </c>
      <c r="C117" s="30" t="s">
        <v>21</v>
      </c>
      <c r="D117" s="29" t="s">
        <v>193</v>
      </c>
      <c r="E117" s="109">
        <v>1</v>
      </c>
      <c r="F117" s="112" t="s">
        <v>194</v>
      </c>
      <c r="G117" s="155">
        <v>1</v>
      </c>
      <c r="H117" s="157" t="s">
        <v>14</v>
      </c>
      <c r="I117" s="113">
        <v>280</v>
      </c>
      <c r="J117" s="90">
        <v>280</v>
      </c>
      <c r="K117" s="86">
        <v>2.27</v>
      </c>
      <c r="L117" s="86">
        <v>1.1499999999999999</v>
      </c>
      <c r="M117" s="86">
        <v>1.1499999999999999</v>
      </c>
      <c r="N117" s="98" t="s">
        <v>260</v>
      </c>
      <c r="O117" s="7"/>
      <c r="P117" s="7"/>
    </row>
    <row r="118" spans="1:16" ht="13.8" x14ac:dyDescent="0.25">
      <c r="A118" s="111" t="s">
        <v>1342</v>
      </c>
      <c r="B118" s="29" t="s">
        <v>1736</v>
      </c>
      <c r="C118" s="30" t="s">
        <v>21</v>
      </c>
      <c r="D118" s="29" t="s">
        <v>195</v>
      </c>
      <c r="E118" s="109">
        <v>1</v>
      </c>
      <c r="F118" s="112" t="s">
        <v>194</v>
      </c>
      <c r="G118" s="155">
        <v>1</v>
      </c>
      <c r="H118" s="157" t="s">
        <v>14</v>
      </c>
      <c r="I118" s="113">
        <v>400</v>
      </c>
      <c r="J118" s="90">
        <v>400</v>
      </c>
      <c r="K118" s="86">
        <v>2.4700000000000002</v>
      </c>
      <c r="L118" s="86">
        <v>1.1499999999999999</v>
      </c>
      <c r="M118" s="86">
        <v>1.1499999999999999</v>
      </c>
      <c r="N118" s="98" t="s">
        <v>260</v>
      </c>
      <c r="O118" s="7"/>
      <c r="P118" s="7"/>
    </row>
    <row r="119" spans="1:16" ht="13.8" x14ac:dyDescent="0.25">
      <c r="A119" s="111" t="s">
        <v>1342</v>
      </c>
      <c r="B119" s="29" t="s">
        <v>1736</v>
      </c>
      <c r="C119" s="30"/>
      <c r="D119" s="29"/>
      <c r="E119" s="29"/>
      <c r="F119" s="112"/>
      <c r="G119" s="229"/>
      <c r="H119" s="118"/>
      <c r="I119" s="115"/>
      <c r="J119" s="59"/>
      <c r="K119" s="86"/>
      <c r="L119" s="86"/>
      <c r="M119" s="86"/>
      <c r="N119" s="98"/>
      <c r="O119" s="7"/>
      <c r="P119" s="7"/>
    </row>
    <row r="120" spans="1:16" ht="13.8" x14ac:dyDescent="0.25">
      <c r="A120" s="111" t="s">
        <v>1342</v>
      </c>
      <c r="B120" s="29" t="s">
        <v>1736</v>
      </c>
      <c r="C120" s="30" t="s">
        <v>21</v>
      </c>
      <c r="D120" s="29" t="s">
        <v>309</v>
      </c>
      <c r="E120" s="29">
        <v>1</v>
      </c>
      <c r="F120" s="114" t="s">
        <v>310</v>
      </c>
      <c r="G120" s="155">
        <v>1</v>
      </c>
      <c r="H120" s="157" t="s">
        <v>14</v>
      </c>
      <c r="I120" s="113">
        <v>650</v>
      </c>
      <c r="J120" s="90">
        <v>650</v>
      </c>
      <c r="K120" s="90">
        <v>2.95</v>
      </c>
      <c r="L120" s="100">
        <v>1.42</v>
      </c>
      <c r="M120" s="100">
        <v>0.9</v>
      </c>
      <c r="N120" s="98" t="s">
        <v>351</v>
      </c>
      <c r="O120" s="7"/>
      <c r="P120" s="7"/>
    </row>
    <row r="121" spans="1:16" ht="13.8" x14ac:dyDescent="0.25">
      <c r="A121" s="111" t="s">
        <v>1342</v>
      </c>
      <c r="B121" s="29" t="s">
        <v>1736</v>
      </c>
      <c r="C121" s="30" t="s">
        <v>21</v>
      </c>
      <c r="D121" s="29" t="s">
        <v>311</v>
      </c>
      <c r="E121" s="29">
        <v>1</v>
      </c>
      <c r="F121" s="112" t="s">
        <v>312</v>
      </c>
      <c r="G121" s="229">
        <v>1</v>
      </c>
      <c r="H121" s="118" t="s">
        <v>14</v>
      </c>
      <c r="I121" s="113">
        <v>3900</v>
      </c>
      <c r="J121" s="90">
        <v>3900</v>
      </c>
      <c r="K121" s="86">
        <v>5.5</v>
      </c>
      <c r="L121" s="100">
        <v>2.33</v>
      </c>
      <c r="M121" s="100">
        <v>2.2200000000000002</v>
      </c>
      <c r="N121" s="98" t="s">
        <v>351</v>
      </c>
      <c r="O121" s="7"/>
      <c r="P121" s="7"/>
    </row>
    <row r="122" spans="1:16" ht="13.8" x14ac:dyDescent="0.25">
      <c r="A122" s="111" t="s">
        <v>1342</v>
      </c>
      <c r="B122" s="29" t="s">
        <v>1736</v>
      </c>
      <c r="C122" s="30" t="s">
        <v>21</v>
      </c>
      <c r="D122" s="29" t="s">
        <v>313</v>
      </c>
      <c r="E122" s="29">
        <v>1</v>
      </c>
      <c r="F122" s="112" t="s">
        <v>314</v>
      </c>
      <c r="G122" s="155">
        <v>1</v>
      </c>
      <c r="H122" s="157" t="s">
        <v>14</v>
      </c>
      <c r="I122" s="113">
        <v>2516</v>
      </c>
      <c r="J122" s="90">
        <v>2516</v>
      </c>
      <c r="K122" s="86">
        <v>7.2</v>
      </c>
      <c r="L122" s="100">
        <v>2.1</v>
      </c>
      <c r="M122" s="100">
        <v>2.1</v>
      </c>
      <c r="N122" s="98" t="s">
        <v>351</v>
      </c>
      <c r="O122" s="7"/>
      <c r="P122" s="7"/>
    </row>
    <row r="123" spans="1:16" ht="13.8" x14ac:dyDescent="0.25">
      <c r="A123" s="111" t="s">
        <v>1342</v>
      </c>
      <c r="B123" s="29" t="s">
        <v>1736</v>
      </c>
      <c r="C123" s="30" t="s">
        <v>21</v>
      </c>
      <c r="D123" s="29" t="s">
        <v>238</v>
      </c>
      <c r="E123" s="29">
        <v>1</v>
      </c>
      <c r="F123" s="112" t="s">
        <v>239</v>
      </c>
      <c r="G123" s="229">
        <v>1</v>
      </c>
      <c r="H123" s="118" t="s">
        <v>14</v>
      </c>
      <c r="I123" s="113">
        <v>44500</v>
      </c>
      <c r="J123" s="90">
        <v>44500</v>
      </c>
      <c r="K123" s="86">
        <v>9.48</v>
      </c>
      <c r="L123" s="86">
        <v>3.93</v>
      </c>
      <c r="M123" s="86">
        <v>3.88</v>
      </c>
      <c r="N123" s="98" t="s">
        <v>260</v>
      </c>
      <c r="O123" s="7"/>
      <c r="P123" s="7"/>
    </row>
    <row r="124" spans="1:16" ht="13.8" x14ac:dyDescent="0.25">
      <c r="A124" s="111" t="s">
        <v>1342</v>
      </c>
      <c r="B124" s="29" t="s">
        <v>1736</v>
      </c>
      <c r="C124" s="30" t="s">
        <v>21</v>
      </c>
      <c r="D124" s="29" t="s">
        <v>238</v>
      </c>
      <c r="E124" s="29">
        <v>1</v>
      </c>
      <c r="F124" s="112" t="s">
        <v>240</v>
      </c>
      <c r="G124" s="155">
        <v>1</v>
      </c>
      <c r="H124" s="157" t="s">
        <v>14</v>
      </c>
      <c r="I124" s="113">
        <v>340</v>
      </c>
      <c r="J124" s="90">
        <v>340</v>
      </c>
      <c r="K124" s="86">
        <v>8.06</v>
      </c>
      <c r="L124" s="86">
        <v>0.73</v>
      </c>
      <c r="M124" s="86">
        <v>0.44</v>
      </c>
      <c r="N124" s="98" t="s">
        <v>260</v>
      </c>
      <c r="O124" s="7"/>
      <c r="P124" s="7"/>
    </row>
    <row r="125" spans="1:16" ht="13.8" x14ac:dyDescent="0.25">
      <c r="A125" s="111" t="s">
        <v>1342</v>
      </c>
      <c r="B125" s="29" t="s">
        <v>1736</v>
      </c>
      <c r="C125" s="30" t="s">
        <v>21</v>
      </c>
      <c r="D125" s="29" t="s">
        <v>241</v>
      </c>
      <c r="E125" s="29">
        <v>1</v>
      </c>
      <c r="F125" s="112" t="s">
        <v>239</v>
      </c>
      <c r="G125" s="229">
        <v>1</v>
      </c>
      <c r="H125" s="118" t="s">
        <v>14</v>
      </c>
      <c r="I125" s="113">
        <v>44500</v>
      </c>
      <c r="J125" s="90">
        <v>44500</v>
      </c>
      <c r="K125" s="86">
        <v>9.48</v>
      </c>
      <c r="L125" s="86">
        <v>3.93</v>
      </c>
      <c r="M125" s="86">
        <v>3.88</v>
      </c>
      <c r="N125" s="98" t="s">
        <v>260</v>
      </c>
      <c r="O125" s="7"/>
      <c r="P125" s="7"/>
    </row>
    <row r="126" spans="1:16" ht="13.8" x14ac:dyDescent="0.25">
      <c r="A126" s="111" t="s">
        <v>1342</v>
      </c>
      <c r="B126" s="29" t="s">
        <v>1736</v>
      </c>
      <c r="C126" s="30" t="s">
        <v>21</v>
      </c>
      <c r="D126" s="29" t="s">
        <v>241</v>
      </c>
      <c r="E126" s="29">
        <v>1</v>
      </c>
      <c r="F126" s="112" t="s">
        <v>240</v>
      </c>
      <c r="G126" s="155">
        <v>1</v>
      </c>
      <c r="H126" s="157" t="s">
        <v>14</v>
      </c>
      <c r="I126" s="113">
        <v>340</v>
      </c>
      <c r="J126" s="90">
        <v>340</v>
      </c>
      <c r="K126" s="86">
        <v>8.06</v>
      </c>
      <c r="L126" s="86">
        <v>0.73</v>
      </c>
      <c r="M126" s="86">
        <v>0.44</v>
      </c>
      <c r="N126" s="98" t="s">
        <v>260</v>
      </c>
      <c r="O126" s="7"/>
      <c r="P126" s="7"/>
    </row>
    <row r="127" spans="1:16" ht="13.8" x14ac:dyDescent="0.25">
      <c r="A127" s="111" t="s">
        <v>1342</v>
      </c>
      <c r="B127" s="29" t="s">
        <v>1736</v>
      </c>
      <c r="C127" s="30" t="s">
        <v>21</v>
      </c>
      <c r="D127" s="29" t="s">
        <v>242</v>
      </c>
      <c r="E127" s="29">
        <v>1</v>
      </c>
      <c r="F127" s="112" t="s">
        <v>239</v>
      </c>
      <c r="G127" s="229">
        <v>1</v>
      </c>
      <c r="H127" s="118" t="s">
        <v>14</v>
      </c>
      <c r="I127" s="113">
        <v>44500</v>
      </c>
      <c r="J127" s="90">
        <v>44500</v>
      </c>
      <c r="K127" s="86">
        <v>9.48</v>
      </c>
      <c r="L127" s="86">
        <v>3.93</v>
      </c>
      <c r="M127" s="86">
        <v>3.88</v>
      </c>
      <c r="N127" s="98" t="s">
        <v>260</v>
      </c>
      <c r="O127" s="7"/>
      <c r="P127" s="7"/>
    </row>
    <row r="128" spans="1:16" ht="13.8" x14ac:dyDescent="0.25">
      <c r="A128" s="111" t="s">
        <v>1342</v>
      </c>
      <c r="B128" s="29" t="s">
        <v>1736</v>
      </c>
      <c r="C128" s="30" t="s">
        <v>21</v>
      </c>
      <c r="D128" s="29" t="s">
        <v>242</v>
      </c>
      <c r="E128" s="29">
        <v>1</v>
      </c>
      <c r="F128" s="112" t="s">
        <v>240</v>
      </c>
      <c r="G128" s="155">
        <v>1</v>
      </c>
      <c r="H128" s="157" t="s">
        <v>14</v>
      </c>
      <c r="I128" s="113">
        <v>340</v>
      </c>
      <c r="J128" s="90">
        <v>340</v>
      </c>
      <c r="K128" s="86">
        <v>8.06</v>
      </c>
      <c r="L128" s="86">
        <v>0.73</v>
      </c>
      <c r="M128" s="86">
        <v>0.44</v>
      </c>
      <c r="N128" s="98" t="s">
        <v>260</v>
      </c>
      <c r="O128" s="7"/>
      <c r="P128" s="7"/>
    </row>
    <row r="129" spans="1:20" ht="13.8" x14ac:dyDescent="0.25">
      <c r="A129" s="111" t="s">
        <v>1342</v>
      </c>
      <c r="B129" s="29" t="s">
        <v>1736</v>
      </c>
      <c r="C129" s="30" t="s">
        <v>18</v>
      </c>
      <c r="D129" s="29" t="s">
        <v>305</v>
      </c>
      <c r="E129" s="29">
        <v>1</v>
      </c>
      <c r="F129" s="112" t="s">
        <v>306</v>
      </c>
      <c r="G129" s="229">
        <v>1</v>
      </c>
      <c r="H129" s="118" t="s">
        <v>14</v>
      </c>
      <c r="I129" s="113">
        <v>900</v>
      </c>
      <c r="J129" s="90">
        <v>920</v>
      </c>
      <c r="K129" s="99">
        <v>0.85</v>
      </c>
      <c r="L129" s="99">
        <v>0.85</v>
      </c>
      <c r="M129" s="99">
        <v>0.6</v>
      </c>
      <c r="N129" s="98" t="s">
        <v>85</v>
      </c>
      <c r="O129" s="7"/>
      <c r="P129" s="7"/>
    </row>
    <row r="130" spans="1:20" ht="13.8" x14ac:dyDescent="0.25">
      <c r="A130" s="111" t="s">
        <v>1342</v>
      </c>
      <c r="B130" s="29" t="s">
        <v>1736</v>
      </c>
      <c r="C130" s="30" t="s">
        <v>18</v>
      </c>
      <c r="D130" s="29" t="s">
        <v>305</v>
      </c>
      <c r="E130" s="29">
        <v>1</v>
      </c>
      <c r="F130" s="112" t="s">
        <v>306</v>
      </c>
      <c r="G130" s="155">
        <v>1</v>
      </c>
      <c r="H130" s="157" t="s">
        <v>14</v>
      </c>
      <c r="I130" s="113">
        <v>900</v>
      </c>
      <c r="J130" s="90">
        <v>920</v>
      </c>
      <c r="K130" s="99">
        <v>0.85</v>
      </c>
      <c r="L130" s="99">
        <v>0.85</v>
      </c>
      <c r="M130" s="99">
        <v>0.6</v>
      </c>
      <c r="N130" s="98" t="s">
        <v>85</v>
      </c>
      <c r="O130" s="7"/>
      <c r="P130" s="7"/>
    </row>
    <row r="131" spans="1:20" ht="13.8" x14ac:dyDescent="0.25">
      <c r="A131" s="111" t="s">
        <v>1342</v>
      </c>
      <c r="B131" s="29" t="s">
        <v>1736</v>
      </c>
      <c r="C131" s="30" t="s">
        <v>18</v>
      </c>
      <c r="D131" s="29" t="s">
        <v>305</v>
      </c>
      <c r="E131" s="29">
        <v>1</v>
      </c>
      <c r="F131" s="112" t="s">
        <v>306</v>
      </c>
      <c r="G131" s="230"/>
      <c r="H131" s="119" t="s">
        <v>14</v>
      </c>
      <c r="I131" s="113">
        <v>900</v>
      </c>
      <c r="J131" s="90">
        <v>920</v>
      </c>
      <c r="K131" s="99">
        <v>0.85</v>
      </c>
      <c r="L131" s="99">
        <v>0.85</v>
      </c>
      <c r="M131" s="99">
        <v>0.6</v>
      </c>
      <c r="N131" s="255" t="s">
        <v>85</v>
      </c>
      <c r="O131" s="7"/>
      <c r="P131" s="7"/>
    </row>
    <row r="132" spans="1:20" ht="30" customHeight="1" x14ac:dyDescent="0.25">
      <c r="A132" s="111"/>
      <c r="B132" s="29"/>
      <c r="C132" s="30"/>
      <c r="D132" s="29"/>
      <c r="E132" s="29"/>
      <c r="F132" s="251" t="s">
        <v>1725</v>
      </c>
      <c r="G132" s="247"/>
      <c r="H132" s="248"/>
      <c r="I132" s="113"/>
      <c r="J132" s="90"/>
      <c r="K132" s="99"/>
      <c r="L132" s="99"/>
      <c r="M132" s="99"/>
      <c r="N132" s="256" t="s">
        <v>1722</v>
      </c>
      <c r="O132" s="256" t="s">
        <v>1723</v>
      </c>
      <c r="P132" s="256" t="s">
        <v>1724</v>
      </c>
    </row>
    <row r="133" spans="1:20" ht="105.6" x14ac:dyDescent="0.25">
      <c r="A133" s="140" t="s">
        <v>1342</v>
      </c>
      <c r="B133" s="250" t="s">
        <v>1726</v>
      </c>
      <c r="C133" s="34" t="s">
        <v>97</v>
      </c>
      <c r="D133" s="35" t="s">
        <v>1720</v>
      </c>
      <c r="E133" s="35">
        <v>1</v>
      </c>
      <c r="F133" s="46" t="s">
        <v>1721</v>
      </c>
      <c r="G133" s="129">
        <v>1</v>
      </c>
      <c r="H133" s="129" t="s">
        <v>1123</v>
      </c>
      <c r="I133" s="47">
        <v>60000</v>
      </c>
      <c r="J133" s="47">
        <v>60000</v>
      </c>
      <c r="K133" s="249">
        <v>28.72</v>
      </c>
      <c r="L133" s="249">
        <v>4.7</v>
      </c>
      <c r="M133" s="249">
        <v>4.4260000000000002</v>
      </c>
      <c r="N133" s="257">
        <v>540</v>
      </c>
      <c r="O133" s="258">
        <v>59150</v>
      </c>
      <c r="P133" s="258">
        <v>310</v>
      </c>
      <c r="Q133" s="264">
        <v>45180</v>
      </c>
    </row>
    <row r="134" spans="1:20" s="142" customFormat="1" ht="39.6" x14ac:dyDescent="0.25">
      <c r="A134" s="252" t="s">
        <v>1727</v>
      </c>
      <c r="B134" s="250" t="s">
        <v>1726</v>
      </c>
      <c r="C134" s="34" t="s">
        <v>97</v>
      </c>
      <c r="D134" s="35" t="s">
        <v>968</v>
      </c>
      <c r="E134" s="35">
        <v>32</v>
      </c>
      <c r="F134" s="46" t="s">
        <v>1728</v>
      </c>
      <c r="G134" s="129">
        <v>32</v>
      </c>
      <c r="H134" s="129" t="s">
        <v>1622</v>
      </c>
      <c r="I134" s="51">
        <v>10240</v>
      </c>
      <c r="J134" s="51">
        <v>10338</v>
      </c>
      <c r="K134" s="82">
        <v>11.6</v>
      </c>
      <c r="L134" s="82">
        <v>2.4</v>
      </c>
      <c r="M134" s="82">
        <v>2.4</v>
      </c>
      <c r="N134" s="259" t="s">
        <v>1729</v>
      </c>
      <c r="O134" s="260"/>
      <c r="P134" s="260"/>
      <c r="Q134" s="260"/>
      <c r="R134" s="260"/>
      <c r="S134" s="260"/>
      <c r="T134" s="261"/>
    </row>
    <row r="135" spans="1:20" s="142" customFormat="1" ht="39.6" x14ac:dyDescent="0.25">
      <c r="A135" s="253" t="s">
        <v>1730</v>
      </c>
      <c r="B135" s="250" t="s">
        <v>1726</v>
      </c>
      <c r="C135" s="34" t="s">
        <v>97</v>
      </c>
      <c r="D135" s="35" t="s">
        <v>968</v>
      </c>
      <c r="E135" s="35">
        <v>32</v>
      </c>
      <c r="F135" s="46" t="s">
        <v>1731</v>
      </c>
      <c r="G135" s="129">
        <v>32</v>
      </c>
      <c r="H135" s="129" t="s">
        <v>1622</v>
      </c>
      <c r="I135" s="51">
        <v>9840</v>
      </c>
      <c r="J135" s="51">
        <v>9938</v>
      </c>
      <c r="K135" s="82">
        <v>11.6</v>
      </c>
      <c r="L135" s="82">
        <v>2.4</v>
      </c>
      <c r="M135" s="82">
        <v>2.4</v>
      </c>
      <c r="N135" s="262" t="s">
        <v>1735</v>
      </c>
      <c r="O135" s="263"/>
    </row>
    <row r="136" spans="1:20" s="142" customFormat="1" ht="39.6" x14ac:dyDescent="0.25">
      <c r="A136" s="254" t="s">
        <v>1732</v>
      </c>
      <c r="B136" s="250" t="s">
        <v>1726</v>
      </c>
      <c r="C136" s="34" t="s">
        <v>97</v>
      </c>
      <c r="D136" s="35" t="s">
        <v>968</v>
      </c>
      <c r="E136" s="35">
        <v>25</v>
      </c>
      <c r="F136" s="46" t="s">
        <v>1733</v>
      </c>
      <c r="G136" s="129">
        <v>25</v>
      </c>
      <c r="H136" s="129" t="s">
        <v>1622</v>
      </c>
      <c r="I136" s="51">
        <v>7500</v>
      </c>
      <c r="J136" s="51">
        <v>7570</v>
      </c>
      <c r="K136" s="82">
        <v>7.8</v>
      </c>
      <c r="L136" s="82">
        <v>2.4</v>
      </c>
      <c r="M136" s="144">
        <v>2.4</v>
      </c>
      <c r="N136" s="259" t="s">
        <v>1734</v>
      </c>
      <c r="O136" s="261"/>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1FD1-C680-4363-868B-54A6C55816BE}">
  <dimension ref="A1:P139"/>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ht="20.399999999999999" x14ac:dyDescent="0.25">
      <c r="A2" s="140" t="s">
        <v>532</v>
      </c>
      <c r="B2" s="140" t="s">
        <v>391</v>
      </c>
      <c r="C2" s="34"/>
      <c r="D2" s="35"/>
      <c r="E2" s="35">
        <v>1</v>
      </c>
      <c r="F2" s="46" t="s">
        <v>392</v>
      </c>
      <c r="G2" s="72">
        <v>1</v>
      </c>
      <c r="H2" s="73" t="s">
        <v>14</v>
      </c>
      <c r="I2" s="126">
        <v>1.19</v>
      </c>
      <c r="J2" s="126">
        <v>1.19</v>
      </c>
      <c r="K2" s="82"/>
      <c r="L2" s="82"/>
      <c r="M2" s="82"/>
      <c r="N2" s="36" t="s">
        <v>393</v>
      </c>
      <c r="O2" s="7"/>
      <c r="P2" s="7"/>
    </row>
    <row r="3" spans="1:16" ht="20.399999999999999" x14ac:dyDescent="0.25">
      <c r="A3" s="140" t="s">
        <v>532</v>
      </c>
      <c r="B3" s="140" t="s">
        <v>391</v>
      </c>
      <c r="C3" s="34"/>
      <c r="D3" s="35"/>
      <c r="E3" s="35">
        <v>1</v>
      </c>
      <c r="F3" s="46" t="s">
        <v>394</v>
      </c>
      <c r="G3" s="72">
        <v>1</v>
      </c>
      <c r="H3" s="73" t="s">
        <v>14</v>
      </c>
      <c r="I3" s="126">
        <v>1.345</v>
      </c>
      <c r="J3" s="126">
        <v>1.345</v>
      </c>
      <c r="K3" s="82"/>
      <c r="L3" s="82"/>
      <c r="M3" s="82"/>
      <c r="N3" s="36" t="s">
        <v>393</v>
      </c>
      <c r="O3" s="7"/>
      <c r="P3" s="7"/>
    </row>
    <row r="4" spans="1:16" ht="20.399999999999999" x14ac:dyDescent="0.25">
      <c r="A4" s="140" t="s">
        <v>532</v>
      </c>
      <c r="B4" s="140" t="s">
        <v>391</v>
      </c>
      <c r="C4" s="34"/>
      <c r="D4" s="35"/>
      <c r="E4" s="35">
        <v>1</v>
      </c>
      <c r="F4" s="46" t="s">
        <v>395</v>
      </c>
      <c r="G4" s="72">
        <v>1</v>
      </c>
      <c r="H4" s="73" t="s">
        <v>396</v>
      </c>
      <c r="I4" s="126">
        <v>0.3</v>
      </c>
      <c r="J4" s="126">
        <v>0.3</v>
      </c>
      <c r="K4" s="82"/>
      <c r="L4" s="82"/>
      <c r="M4" s="82"/>
      <c r="N4" s="36" t="s">
        <v>393</v>
      </c>
      <c r="O4" s="7"/>
      <c r="P4" s="7"/>
    </row>
    <row r="5" spans="1:16" ht="27.6" x14ac:dyDescent="0.25">
      <c r="A5" s="140" t="s">
        <v>532</v>
      </c>
      <c r="B5" s="140" t="s">
        <v>805</v>
      </c>
      <c r="C5" s="34" t="s">
        <v>806</v>
      </c>
      <c r="D5" s="35"/>
      <c r="E5" s="35">
        <v>1</v>
      </c>
      <c r="F5" s="46" t="s">
        <v>392</v>
      </c>
      <c r="G5" s="72">
        <v>1</v>
      </c>
      <c r="H5" s="73" t="s">
        <v>14</v>
      </c>
      <c r="I5" s="126">
        <v>1.6</v>
      </c>
      <c r="J5" s="126">
        <v>1.6</v>
      </c>
      <c r="K5" s="82"/>
      <c r="L5" s="82"/>
      <c r="M5" s="82"/>
      <c r="N5" s="36" t="s">
        <v>393</v>
      </c>
      <c r="O5" s="7"/>
      <c r="P5" s="7"/>
    </row>
    <row r="6" spans="1:16" ht="27.6" x14ac:dyDescent="0.25">
      <c r="A6" s="140"/>
      <c r="B6" s="140" t="s">
        <v>805</v>
      </c>
      <c r="C6" s="34" t="s">
        <v>806</v>
      </c>
      <c r="D6" s="35"/>
      <c r="E6" s="35">
        <v>1</v>
      </c>
      <c r="F6" s="46" t="s">
        <v>394</v>
      </c>
      <c r="G6" s="72">
        <v>1</v>
      </c>
      <c r="H6" s="73" t="s">
        <v>14</v>
      </c>
      <c r="I6" s="126">
        <v>2.0350000000000001</v>
      </c>
      <c r="J6" s="126">
        <v>2.0350000000000001</v>
      </c>
      <c r="K6" s="82"/>
      <c r="L6" s="82"/>
      <c r="M6" s="82"/>
      <c r="N6" s="36" t="s">
        <v>393</v>
      </c>
      <c r="O6" s="7"/>
      <c r="P6" s="7"/>
    </row>
    <row r="7" spans="1:16" ht="79.2" x14ac:dyDescent="0.25">
      <c r="A7" s="140" t="s">
        <v>532</v>
      </c>
      <c r="B7" s="140" t="s">
        <v>654</v>
      </c>
      <c r="C7" s="34" t="s">
        <v>20</v>
      </c>
      <c r="D7" s="35" t="s">
        <v>653</v>
      </c>
      <c r="E7" s="35">
        <v>1</v>
      </c>
      <c r="F7" s="46" t="s">
        <v>652</v>
      </c>
      <c r="G7" s="72">
        <v>32</v>
      </c>
      <c r="H7" s="73" t="s">
        <v>14</v>
      </c>
      <c r="I7" s="48">
        <v>450</v>
      </c>
      <c r="J7" s="48">
        <v>500</v>
      </c>
      <c r="K7" s="82">
        <v>1.1299999999999999</v>
      </c>
      <c r="L7" s="82">
        <v>0.79</v>
      </c>
      <c r="M7" s="82">
        <v>0.62</v>
      </c>
      <c r="N7" s="36"/>
      <c r="O7" s="7"/>
      <c r="P7" s="7"/>
    </row>
    <row r="8" spans="1:16" ht="13.8" x14ac:dyDescent="0.25">
      <c r="A8" s="140"/>
      <c r="B8" s="140"/>
      <c r="C8" s="34"/>
      <c r="D8" s="35"/>
      <c r="E8" s="35"/>
      <c r="F8" s="46"/>
      <c r="G8" s="72"/>
      <c r="H8" s="73"/>
      <c r="I8" s="48"/>
      <c r="J8" s="48"/>
      <c r="K8" s="82"/>
      <c r="L8" s="82"/>
      <c r="M8" s="82"/>
      <c r="N8" s="36"/>
      <c r="O8" s="7"/>
      <c r="P8" s="7"/>
    </row>
    <row r="9" spans="1:16" ht="26.4" x14ac:dyDescent="0.25">
      <c r="A9" s="140" t="s">
        <v>211</v>
      </c>
      <c r="B9" s="140" t="s">
        <v>197</v>
      </c>
      <c r="C9" s="34" t="s">
        <v>21</v>
      </c>
      <c r="D9" s="35" t="s">
        <v>25</v>
      </c>
      <c r="E9" s="35">
        <v>1</v>
      </c>
      <c r="F9" s="46" t="s">
        <v>199</v>
      </c>
      <c r="G9" s="72">
        <v>1</v>
      </c>
      <c r="H9" s="73" t="s">
        <v>14</v>
      </c>
      <c r="I9" s="48">
        <v>2555</v>
      </c>
      <c r="J9" s="48">
        <v>2555</v>
      </c>
      <c r="K9" s="82">
        <v>3.2</v>
      </c>
      <c r="L9" s="82">
        <v>1.45</v>
      </c>
      <c r="M9" s="82">
        <v>2.42</v>
      </c>
      <c r="N9" s="36" t="s">
        <v>85</v>
      </c>
      <c r="O9" s="7"/>
      <c r="P9" s="7"/>
    </row>
    <row r="10" spans="1:16" ht="20.399999999999999" x14ac:dyDescent="0.25">
      <c r="A10" s="140" t="s">
        <v>211</v>
      </c>
      <c r="B10" s="140" t="s">
        <v>197</v>
      </c>
      <c r="C10" s="34" t="s">
        <v>21</v>
      </c>
      <c r="D10" s="35" t="s">
        <v>25</v>
      </c>
      <c r="E10" s="35">
        <v>1</v>
      </c>
      <c r="F10" s="46" t="s">
        <v>200</v>
      </c>
      <c r="G10" s="72">
        <v>1</v>
      </c>
      <c r="H10" s="73" t="s">
        <v>14</v>
      </c>
      <c r="I10" s="48">
        <v>370</v>
      </c>
      <c r="J10" s="48">
        <v>370</v>
      </c>
      <c r="K10" s="82">
        <v>2.86</v>
      </c>
      <c r="L10" s="82">
        <v>0.77</v>
      </c>
      <c r="M10" s="82">
        <v>1.1200000000000001</v>
      </c>
      <c r="N10" s="36" t="s">
        <v>85</v>
      </c>
      <c r="O10" s="7"/>
      <c r="P10" s="7"/>
    </row>
    <row r="11" spans="1:16" ht="20.399999999999999" x14ac:dyDescent="0.25">
      <c r="A11" s="140" t="s">
        <v>211</v>
      </c>
      <c r="B11" s="140" t="s">
        <v>197</v>
      </c>
      <c r="C11" s="34" t="s">
        <v>19</v>
      </c>
      <c r="D11" s="35" t="s">
        <v>25</v>
      </c>
      <c r="E11" s="35">
        <v>1</v>
      </c>
      <c r="F11" s="46" t="s">
        <v>201</v>
      </c>
      <c r="G11" s="72">
        <v>2</v>
      </c>
      <c r="H11" s="73" t="s">
        <v>14</v>
      </c>
      <c r="I11" s="48">
        <v>750</v>
      </c>
      <c r="J11" s="48">
        <v>750</v>
      </c>
      <c r="K11" s="82">
        <v>3</v>
      </c>
      <c r="L11" s="82">
        <v>0.77</v>
      </c>
      <c r="M11" s="82">
        <v>1.7</v>
      </c>
      <c r="N11" s="36" t="s">
        <v>85</v>
      </c>
      <c r="O11" s="7"/>
      <c r="P11" s="7"/>
    </row>
    <row r="12" spans="1:16" ht="20.399999999999999" x14ac:dyDescent="0.25">
      <c r="A12" s="140" t="s">
        <v>211</v>
      </c>
      <c r="B12" s="140" t="s">
        <v>197</v>
      </c>
      <c r="C12" s="34" t="s">
        <v>19</v>
      </c>
      <c r="D12" s="35" t="s">
        <v>25</v>
      </c>
      <c r="E12" s="35">
        <v>1</v>
      </c>
      <c r="F12" s="46" t="s">
        <v>202</v>
      </c>
      <c r="G12" s="72">
        <v>2</v>
      </c>
      <c r="H12" s="73" t="s">
        <v>14</v>
      </c>
      <c r="I12" s="48">
        <v>750</v>
      </c>
      <c r="J12" s="48">
        <v>750</v>
      </c>
      <c r="K12" s="82">
        <v>3</v>
      </c>
      <c r="L12" s="82">
        <v>0.77</v>
      </c>
      <c r="M12" s="82">
        <v>1.7</v>
      </c>
      <c r="N12" s="36" t="s">
        <v>85</v>
      </c>
      <c r="O12" s="7"/>
      <c r="P12" s="7"/>
    </row>
    <row r="13" spans="1:16" ht="20.399999999999999" x14ac:dyDescent="0.25">
      <c r="A13" s="140" t="s">
        <v>211</v>
      </c>
      <c r="B13" s="140" t="s">
        <v>197</v>
      </c>
      <c r="C13" s="34" t="s">
        <v>19</v>
      </c>
      <c r="D13" s="35" t="s">
        <v>25</v>
      </c>
      <c r="E13" s="35">
        <v>1</v>
      </c>
      <c r="F13" s="46" t="s">
        <v>203</v>
      </c>
      <c r="G13" s="72">
        <v>2</v>
      </c>
      <c r="H13" s="73" t="s">
        <v>14</v>
      </c>
      <c r="I13" s="48">
        <v>750</v>
      </c>
      <c r="J13" s="48">
        <v>750</v>
      </c>
      <c r="K13" s="82">
        <v>3</v>
      </c>
      <c r="L13" s="82">
        <v>0.77</v>
      </c>
      <c r="M13" s="82">
        <v>1.7</v>
      </c>
      <c r="N13" s="36" t="s">
        <v>85</v>
      </c>
      <c r="O13" s="7"/>
      <c r="P13" s="7"/>
    </row>
    <row r="14" spans="1:16" ht="20.399999999999999" x14ac:dyDescent="0.25">
      <c r="A14" s="140" t="s">
        <v>211</v>
      </c>
      <c r="B14" s="140" t="s">
        <v>197</v>
      </c>
      <c r="C14" s="34" t="s">
        <v>21</v>
      </c>
      <c r="D14" s="35" t="s">
        <v>25</v>
      </c>
      <c r="E14" s="35">
        <v>1</v>
      </c>
      <c r="F14" s="46" t="s">
        <v>204</v>
      </c>
      <c r="G14" s="72">
        <v>1</v>
      </c>
      <c r="H14" s="73" t="s">
        <v>14</v>
      </c>
      <c r="I14" s="48">
        <v>540</v>
      </c>
      <c r="J14" s="48">
        <v>540</v>
      </c>
      <c r="K14" s="82">
        <v>3.45</v>
      </c>
      <c r="L14" s="82">
        <v>0.9</v>
      </c>
      <c r="M14" s="82">
        <v>1.5</v>
      </c>
      <c r="N14" s="36" t="s">
        <v>85</v>
      </c>
      <c r="O14" s="7"/>
      <c r="P14" s="7"/>
    </row>
    <row r="15" spans="1:16" ht="20.399999999999999" x14ac:dyDescent="0.25">
      <c r="A15" s="140" t="s">
        <v>211</v>
      </c>
      <c r="B15" s="140" t="s">
        <v>197</v>
      </c>
      <c r="C15" s="34" t="s">
        <v>21</v>
      </c>
      <c r="D15" s="35" t="s">
        <v>25</v>
      </c>
      <c r="E15" s="35">
        <v>1</v>
      </c>
      <c r="F15" s="46" t="s">
        <v>205</v>
      </c>
      <c r="G15" s="72">
        <v>1</v>
      </c>
      <c r="H15" s="73" t="s">
        <v>14</v>
      </c>
      <c r="I15" s="48">
        <v>630</v>
      </c>
      <c r="J15" s="48">
        <v>630</v>
      </c>
      <c r="K15" s="82">
        <v>3.87</v>
      </c>
      <c r="L15" s="82">
        <v>1.2</v>
      </c>
      <c r="M15" s="82">
        <v>1.24</v>
      </c>
      <c r="N15" s="36" t="s">
        <v>85</v>
      </c>
      <c r="O15" s="7"/>
      <c r="P15" s="7"/>
    </row>
    <row r="16" spans="1:16" ht="20.399999999999999" x14ac:dyDescent="0.25">
      <c r="A16" s="140" t="s">
        <v>211</v>
      </c>
      <c r="B16" s="140" t="s">
        <v>197</v>
      </c>
      <c r="C16" s="34" t="s">
        <v>21</v>
      </c>
      <c r="D16" s="35" t="s">
        <v>25</v>
      </c>
      <c r="E16" s="35">
        <v>1</v>
      </c>
      <c r="F16" s="46" t="s">
        <v>206</v>
      </c>
      <c r="G16" s="72">
        <v>1</v>
      </c>
      <c r="H16" s="73" t="s">
        <v>14</v>
      </c>
      <c r="I16" s="48">
        <v>1015</v>
      </c>
      <c r="J16" s="48">
        <v>1015</v>
      </c>
      <c r="K16" s="82">
        <v>2.12</v>
      </c>
      <c r="L16" s="82">
        <v>1.2</v>
      </c>
      <c r="M16" s="82">
        <v>1.35</v>
      </c>
      <c r="N16" s="36" t="s">
        <v>85</v>
      </c>
      <c r="O16" s="7"/>
      <c r="P16" s="7"/>
    </row>
    <row r="17" spans="1:16" ht="20.399999999999999" x14ac:dyDescent="0.25">
      <c r="A17" s="140" t="s">
        <v>212</v>
      </c>
      <c r="B17" s="140" t="s">
        <v>197</v>
      </c>
      <c r="C17" s="34" t="s">
        <v>20</v>
      </c>
      <c r="D17" s="35" t="s">
        <v>25</v>
      </c>
      <c r="E17" s="35">
        <v>1</v>
      </c>
      <c r="F17" s="46" t="s">
        <v>207</v>
      </c>
      <c r="G17" s="72">
        <v>83</v>
      </c>
      <c r="H17" s="73" t="s">
        <v>14</v>
      </c>
      <c r="I17" s="48">
        <v>913</v>
      </c>
      <c r="J17" s="48">
        <v>1083</v>
      </c>
      <c r="K17" s="82">
        <v>2.36</v>
      </c>
      <c r="L17" s="82">
        <v>0.82</v>
      </c>
      <c r="M17" s="82">
        <v>0.95</v>
      </c>
      <c r="N17" s="36" t="s">
        <v>85</v>
      </c>
      <c r="O17" s="7"/>
      <c r="P17" s="7"/>
    </row>
    <row r="18" spans="1:16" ht="20.399999999999999" x14ac:dyDescent="0.25">
      <c r="A18" s="140" t="s">
        <v>212</v>
      </c>
      <c r="B18" s="140" t="s">
        <v>197</v>
      </c>
      <c r="C18" s="34" t="s">
        <v>20</v>
      </c>
      <c r="D18" s="35" t="s">
        <v>25</v>
      </c>
      <c r="E18" s="35">
        <v>1</v>
      </c>
      <c r="F18" s="46" t="s">
        <v>208</v>
      </c>
      <c r="G18" s="72">
        <v>80</v>
      </c>
      <c r="H18" s="73" t="s">
        <v>14</v>
      </c>
      <c r="I18" s="48">
        <v>880</v>
      </c>
      <c r="J18" s="48">
        <v>1050</v>
      </c>
      <c r="K18" s="82">
        <v>2.2599999999999998</v>
      </c>
      <c r="L18" s="82">
        <v>0.85</v>
      </c>
      <c r="M18" s="82">
        <v>0.95</v>
      </c>
      <c r="N18" s="36" t="s">
        <v>85</v>
      </c>
      <c r="O18" s="7"/>
      <c r="P18" s="7"/>
    </row>
    <row r="19" spans="1:16" ht="26.4" x14ac:dyDescent="0.25">
      <c r="A19" s="140" t="s">
        <v>213</v>
      </c>
      <c r="B19" s="140" t="s">
        <v>197</v>
      </c>
      <c r="C19" s="34" t="s">
        <v>20</v>
      </c>
      <c r="D19" s="35" t="s">
        <v>25</v>
      </c>
      <c r="E19" s="35">
        <v>1</v>
      </c>
      <c r="F19" s="46" t="s">
        <v>209</v>
      </c>
      <c r="G19" s="72">
        <v>66</v>
      </c>
      <c r="H19" s="73" t="s">
        <v>14</v>
      </c>
      <c r="I19" s="48">
        <v>1000</v>
      </c>
      <c r="J19" s="48">
        <v>1170</v>
      </c>
      <c r="K19" s="82">
        <v>2.2000000000000002</v>
      </c>
      <c r="L19" s="82">
        <v>0.8</v>
      </c>
      <c r="M19" s="82">
        <v>0.92</v>
      </c>
      <c r="N19" s="36" t="s">
        <v>85</v>
      </c>
      <c r="O19" s="7"/>
      <c r="P19" s="7"/>
    </row>
    <row r="20" spans="1:16" ht="20.399999999999999" x14ac:dyDescent="0.25">
      <c r="A20" s="140" t="s">
        <v>213</v>
      </c>
      <c r="B20" s="140" t="s">
        <v>197</v>
      </c>
      <c r="C20" s="34" t="s">
        <v>20</v>
      </c>
      <c r="D20" s="35" t="s">
        <v>25</v>
      </c>
      <c r="E20" s="35">
        <v>1</v>
      </c>
      <c r="F20" s="46" t="s">
        <v>210</v>
      </c>
      <c r="G20" s="72">
        <v>1</v>
      </c>
      <c r="H20" s="73" t="s">
        <v>14</v>
      </c>
      <c r="I20" s="48">
        <v>1235</v>
      </c>
      <c r="J20" s="48">
        <v>1405</v>
      </c>
      <c r="K20" s="82">
        <v>2.2000000000000002</v>
      </c>
      <c r="L20" s="82">
        <v>0.8</v>
      </c>
      <c r="M20" s="82">
        <v>0.92</v>
      </c>
      <c r="N20" s="36" t="s">
        <v>85</v>
      </c>
      <c r="O20" s="7"/>
      <c r="P20" s="7"/>
    </row>
    <row r="21" spans="1:16" ht="13.8" x14ac:dyDescent="0.25">
      <c r="A21" s="140"/>
      <c r="B21" s="140"/>
      <c r="C21" s="34"/>
      <c r="D21" s="35"/>
      <c r="E21" s="35"/>
      <c r="F21" s="46"/>
      <c r="G21" s="72"/>
      <c r="H21" s="73"/>
      <c r="I21" s="48"/>
      <c r="J21" s="48"/>
      <c r="K21" s="82"/>
      <c r="L21" s="82"/>
      <c r="M21" s="82"/>
      <c r="N21" s="36"/>
      <c r="O21" s="7"/>
      <c r="P21" s="7"/>
    </row>
    <row r="22" spans="1:16" s="8" customFormat="1" ht="20.399999999999999" x14ac:dyDescent="0.25">
      <c r="A22" s="140" t="s">
        <v>79</v>
      </c>
      <c r="B22" s="140" t="s">
        <v>81</v>
      </c>
      <c r="C22" s="34" t="s">
        <v>20</v>
      </c>
      <c r="D22" s="35" t="s">
        <v>24</v>
      </c>
      <c r="E22" s="35">
        <v>1</v>
      </c>
      <c r="F22" s="46" t="s">
        <v>76</v>
      </c>
      <c r="G22" s="72">
        <v>140</v>
      </c>
      <c r="H22" s="76" t="s">
        <v>14</v>
      </c>
      <c r="I22" s="48">
        <v>280</v>
      </c>
      <c r="J22" s="48">
        <v>280</v>
      </c>
      <c r="K22" s="82"/>
      <c r="L22" s="82"/>
      <c r="M22" s="82"/>
      <c r="N22" s="38" t="s">
        <v>452</v>
      </c>
    </row>
    <row r="23" spans="1:16" s="8" customFormat="1" ht="20.399999999999999" x14ac:dyDescent="0.25">
      <c r="A23" s="140" t="s">
        <v>79</v>
      </c>
      <c r="B23" s="140" t="s">
        <v>81</v>
      </c>
      <c r="C23" s="34" t="s">
        <v>18</v>
      </c>
      <c r="D23" s="35" t="s">
        <v>24</v>
      </c>
      <c r="E23" s="35">
        <v>1</v>
      </c>
      <c r="F23" s="46" t="s">
        <v>55</v>
      </c>
      <c r="G23" s="72">
        <v>1</v>
      </c>
      <c r="H23" s="76" t="s">
        <v>14</v>
      </c>
      <c r="I23" s="48">
        <v>480</v>
      </c>
      <c r="J23" s="48">
        <v>480</v>
      </c>
      <c r="K23" s="82">
        <v>1.2</v>
      </c>
      <c r="L23" s="82">
        <v>0.8</v>
      </c>
      <c r="M23" s="82">
        <v>0.5</v>
      </c>
      <c r="N23" s="38" t="s">
        <v>452</v>
      </c>
    </row>
    <row r="24" spans="1:16" s="8" customFormat="1" ht="20.399999999999999" x14ac:dyDescent="0.25">
      <c r="A24" s="140" t="s">
        <v>79</v>
      </c>
      <c r="B24" s="140" t="s">
        <v>81</v>
      </c>
      <c r="C24" s="34" t="s">
        <v>21</v>
      </c>
      <c r="D24" s="35" t="s">
        <v>25</v>
      </c>
      <c r="E24" s="35">
        <v>1</v>
      </c>
      <c r="F24" s="46" t="s">
        <v>72</v>
      </c>
      <c r="G24" s="72">
        <v>1</v>
      </c>
      <c r="H24" s="76" t="s">
        <v>14</v>
      </c>
      <c r="I24" s="48">
        <v>1415</v>
      </c>
      <c r="J24" s="48">
        <v>1415</v>
      </c>
      <c r="K24" s="82">
        <v>3.9</v>
      </c>
      <c r="L24" s="82">
        <v>1.3</v>
      </c>
      <c r="M24" s="82">
        <v>2.5</v>
      </c>
      <c r="N24" s="38" t="s">
        <v>452</v>
      </c>
    </row>
    <row r="25" spans="1:16" s="8" customFormat="1" ht="20.399999999999999" x14ac:dyDescent="0.25">
      <c r="A25" s="140" t="s">
        <v>79</v>
      </c>
      <c r="B25" s="140" t="s">
        <v>81</v>
      </c>
      <c r="C25" s="34" t="s">
        <v>19</v>
      </c>
      <c r="D25" s="35" t="s">
        <v>25</v>
      </c>
      <c r="E25" s="35">
        <v>1</v>
      </c>
      <c r="F25" s="46" t="s">
        <v>73</v>
      </c>
      <c r="G25" s="72">
        <v>3</v>
      </c>
      <c r="H25" s="76" t="s">
        <v>14</v>
      </c>
      <c r="I25" s="48">
        <v>825</v>
      </c>
      <c r="J25" s="48">
        <v>825</v>
      </c>
      <c r="K25" s="82">
        <v>3</v>
      </c>
      <c r="L25" s="82">
        <v>0.5</v>
      </c>
      <c r="M25" s="82">
        <v>1.5</v>
      </c>
      <c r="N25" s="38" t="s">
        <v>452</v>
      </c>
    </row>
    <row r="26" spans="1:16" s="8" customFormat="1" ht="20.399999999999999" x14ac:dyDescent="0.25">
      <c r="A26" s="140" t="s">
        <v>79</v>
      </c>
      <c r="B26" s="140" t="s">
        <v>81</v>
      </c>
      <c r="C26" s="34" t="s">
        <v>21</v>
      </c>
      <c r="D26" s="35" t="s">
        <v>25</v>
      </c>
      <c r="E26" s="35">
        <v>1</v>
      </c>
      <c r="F26" s="46" t="s">
        <v>26</v>
      </c>
      <c r="G26" s="72">
        <v>1</v>
      </c>
      <c r="H26" s="76" t="s">
        <v>14</v>
      </c>
      <c r="I26" s="48">
        <v>298</v>
      </c>
      <c r="J26" s="48">
        <v>298</v>
      </c>
      <c r="K26" s="82">
        <v>2.6</v>
      </c>
      <c r="L26" s="82">
        <v>0.5</v>
      </c>
      <c r="M26" s="82">
        <v>0.93</v>
      </c>
      <c r="N26" s="38" t="s">
        <v>452</v>
      </c>
    </row>
    <row r="27" spans="1:16" s="8" customFormat="1" ht="20.399999999999999" x14ac:dyDescent="0.25">
      <c r="A27" s="140" t="s">
        <v>79</v>
      </c>
      <c r="B27" s="140" t="s">
        <v>81</v>
      </c>
      <c r="C27" s="34" t="s">
        <v>21</v>
      </c>
      <c r="D27" s="35" t="s">
        <v>25</v>
      </c>
      <c r="E27" s="35">
        <v>1</v>
      </c>
      <c r="F27" s="46" t="s">
        <v>27</v>
      </c>
      <c r="G27" s="72">
        <v>1</v>
      </c>
      <c r="H27" s="76" t="s">
        <v>14</v>
      </c>
      <c r="I27" s="48">
        <v>332</v>
      </c>
      <c r="J27" s="48">
        <v>332</v>
      </c>
      <c r="K27" s="82">
        <v>2.4</v>
      </c>
      <c r="L27" s="82">
        <v>0.6</v>
      </c>
      <c r="M27" s="82">
        <v>0.9</v>
      </c>
      <c r="N27" s="38" t="s">
        <v>452</v>
      </c>
    </row>
    <row r="28" spans="1:16" s="8" customFormat="1" ht="20.399999999999999" x14ac:dyDescent="0.25">
      <c r="A28" s="140" t="s">
        <v>79</v>
      </c>
      <c r="B28" s="140" t="s">
        <v>81</v>
      </c>
      <c r="C28" s="34" t="s">
        <v>21</v>
      </c>
      <c r="D28" s="35" t="s">
        <v>25</v>
      </c>
      <c r="E28" s="35">
        <v>1</v>
      </c>
      <c r="F28" s="46" t="s">
        <v>28</v>
      </c>
      <c r="G28" s="72">
        <v>1</v>
      </c>
      <c r="H28" s="76" t="s">
        <v>14</v>
      </c>
      <c r="I28" s="48">
        <v>75</v>
      </c>
      <c r="J28" s="48">
        <v>75</v>
      </c>
      <c r="K28" s="82">
        <v>0.55000000000000004</v>
      </c>
      <c r="L28" s="82">
        <v>0.5</v>
      </c>
      <c r="M28" s="82">
        <v>0.9</v>
      </c>
      <c r="N28" s="38" t="s">
        <v>452</v>
      </c>
    </row>
    <row r="29" spans="1:16" s="8" customFormat="1" ht="20.399999999999999" x14ac:dyDescent="0.25">
      <c r="A29" s="140" t="s">
        <v>79</v>
      </c>
      <c r="B29" s="140" t="s">
        <v>81</v>
      </c>
      <c r="C29" s="34" t="s">
        <v>21</v>
      </c>
      <c r="D29" s="35" t="s">
        <v>25</v>
      </c>
      <c r="E29" s="35">
        <v>1</v>
      </c>
      <c r="F29" s="46" t="s">
        <v>74</v>
      </c>
      <c r="G29" s="72">
        <v>1</v>
      </c>
      <c r="H29" s="76" t="s">
        <v>14</v>
      </c>
      <c r="I29" s="48">
        <v>433</v>
      </c>
      <c r="J29" s="48">
        <v>433</v>
      </c>
      <c r="K29" s="82">
        <v>1.35</v>
      </c>
      <c r="L29" s="82">
        <v>0.85</v>
      </c>
      <c r="M29" s="82">
        <v>0.9</v>
      </c>
      <c r="N29" s="38" t="s">
        <v>452</v>
      </c>
    </row>
    <row r="30" spans="1:16" s="8" customFormat="1" ht="13.8" x14ac:dyDescent="0.25">
      <c r="A30" s="140"/>
      <c r="B30" s="140"/>
      <c r="C30" s="34"/>
      <c r="D30" s="35"/>
      <c r="E30" s="35"/>
      <c r="F30" s="46"/>
      <c r="G30" s="72"/>
      <c r="H30" s="76"/>
      <c r="I30" s="48"/>
      <c r="J30" s="48"/>
      <c r="K30" s="82"/>
      <c r="L30" s="82"/>
      <c r="M30" s="82"/>
      <c r="N30" s="38"/>
    </row>
    <row r="31" spans="1:16" s="8" customFormat="1" ht="20.399999999999999" x14ac:dyDescent="0.25">
      <c r="A31" s="140" t="s">
        <v>79</v>
      </c>
      <c r="B31" s="140" t="s">
        <v>144</v>
      </c>
      <c r="C31" s="34" t="s">
        <v>20</v>
      </c>
      <c r="D31" s="35" t="s">
        <v>140</v>
      </c>
      <c r="E31" s="35">
        <v>1</v>
      </c>
      <c r="F31" s="46" t="s">
        <v>141</v>
      </c>
      <c r="G31" s="72">
        <v>142</v>
      </c>
      <c r="H31" s="76" t="s">
        <v>14</v>
      </c>
      <c r="I31" s="48">
        <v>300</v>
      </c>
      <c r="J31" s="48">
        <v>335</v>
      </c>
      <c r="K31" s="82">
        <v>1.02</v>
      </c>
      <c r="L31" s="82">
        <v>0.85</v>
      </c>
      <c r="M31" s="82">
        <v>0.72</v>
      </c>
      <c r="N31" s="38" t="s">
        <v>452</v>
      </c>
    </row>
    <row r="32" spans="1:16" s="8" customFormat="1" ht="20.399999999999999" x14ac:dyDescent="0.25">
      <c r="A32" s="140" t="s">
        <v>78</v>
      </c>
      <c r="B32" s="140" t="s">
        <v>157</v>
      </c>
      <c r="C32" s="34" t="s">
        <v>20</v>
      </c>
      <c r="D32" s="35" t="s">
        <v>140</v>
      </c>
      <c r="E32" s="35">
        <v>1</v>
      </c>
      <c r="F32" s="46" t="s">
        <v>158</v>
      </c>
      <c r="G32" s="72">
        <v>1</v>
      </c>
      <c r="H32" s="76" t="s">
        <v>14</v>
      </c>
      <c r="I32" s="48">
        <v>455</v>
      </c>
      <c r="J32" s="48">
        <v>490</v>
      </c>
      <c r="K32" s="82">
        <v>1.1000000000000001</v>
      </c>
      <c r="L32" s="82">
        <v>0.8</v>
      </c>
      <c r="M32" s="82">
        <v>0.75</v>
      </c>
      <c r="N32" s="38" t="s">
        <v>125</v>
      </c>
    </row>
    <row r="33" spans="1:14" s="8" customFormat="1" ht="20.399999999999999" x14ac:dyDescent="0.25">
      <c r="A33" s="140" t="s">
        <v>145</v>
      </c>
      <c r="B33" s="140" t="s">
        <v>157</v>
      </c>
      <c r="C33" s="34" t="s">
        <v>21</v>
      </c>
      <c r="D33" s="35" t="s">
        <v>25</v>
      </c>
      <c r="E33" s="35">
        <v>1</v>
      </c>
      <c r="F33" s="46" t="s">
        <v>72</v>
      </c>
      <c r="G33" s="72">
        <v>1</v>
      </c>
      <c r="H33" s="76" t="s">
        <v>14</v>
      </c>
      <c r="I33" s="48">
        <v>1400</v>
      </c>
      <c r="J33" s="48">
        <v>1400</v>
      </c>
      <c r="K33" s="82">
        <v>3.9</v>
      </c>
      <c r="L33" s="82">
        <v>1.3</v>
      </c>
      <c r="M33" s="82">
        <v>2.5</v>
      </c>
      <c r="N33" s="38" t="s">
        <v>452</v>
      </c>
    </row>
    <row r="34" spans="1:14" s="8" customFormat="1" ht="20.399999999999999" x14ac:dyDescent="0.25">
      <c r="A34" s="140" t="s">
        <v>145</v>
      </c>
      <c r="B34" s="140" t="s">
        <v>157</v>
      </c>
      <c r="C34" s="34" t="s">
        <v>19</v>
      </c>
      <c r="D34" s="35" t="s">
        <v>25</v>
      </c>
      <c r="E34" s="35">
        <v>1</v>
      </c>
      <c r="F34" s="46" t="s">
        <v>142</v>
      </c>
      <c r="G34" s="72">
        <v>2</v>
      </c>
      <c r="H34" s="76" t="s">
        <v>14</v>
      </c>
      <c r="I34" s="48">
        <v>500</v>
      </c>
      <c r="J34" s="48">
        <v>500</v>
      </c>
      <c r="K34" s="82">
        <v>3.74</v>
      </c>
      <c r="L34" s="82">
        <v>0.5</v>
      </c>
      <c r="M34" s="82">
        <v>1</v>
      </c>
      <c r="N34" s="38" t="s">
        <v>452</v>
      </c>
    </row>
    <row r="35" spans="1:14" s="8" customFormat="1" ht="20.399999999999999" x14ac:dyDescent="0.25">
      <c r="A35" s="140" t="s">
        <v>145</v>
      </c>
      <c r="B35" s="140" t="s">
        <v>157</v>
      </c>
      <c r="C35" s="34" t="s">
        <v>21</v>
      </c>
      <c r="D35" s="35" t="s">
        <v>25</v>
      </c>
      <c r="E35" s="35">
        <v>1</v>
      </c>
      <c r="F35" s="46" t="s">
        <v>143</v>
      </c>
      <c r="G35" s="72">
        <v>1</v>
      </c>
      <c r="H35" s="76" t="s">
        <v>14</v>
      </c>
      <c r="I35" s="48">
        <v>185</v>
      </c>
      <c r="J35" s="48">
        <v>185</v>
      </c>
      <c r="K35" s="82">
        <v>2.2999999999999998</v>
      </c>
      <c r="L35" s="82">
        <v>0.5</v>
      </c>
      <c r="M35" s="82">
        <v>0.85</v>
      </c>
      <c r="N35" s="38" t="s">
        <v>452</v>
      </c>
    </row>
    <row r="36" spans="1:14" s="8" customFormat="1" ht="20.399999999999999" x14ac:dyDescent="0.25">
      <c r="A36" s="140" t="s">
        <v>145</v>
      </c>
      <c r="B36" s="140" t="s">
        <v>157</v>
      </c>
      <c r="C36" s="34" t="s">
        <v>21</v>
      </c>
      <c r="D36" s="35" t="s">
        <v>25</v>
      </c>
      <c r="E36" s="35">
        <v>1</v>
      </c>
      <c r="F36" s="46" t="s">
        <v>27</v>
      </c>
      <c r="G36" s="72">
        <v>1</v>
      </c>
      <c r="H36" s="76" t="s">
        <v>14</v>
      </c>
      <c r="I36" s="48">
        <v>260</v>
      </c>
      <c r="J36" s="48">
        <v>260</v>
      </c>
      <c r="K36" s="82">
        <v>2.2999999999999998</v>
      </c>
      <c r="L36" s="82">
        <v>0.6</v>
      </c>
      <c r="M36" s="82">
        <v>0.7</v>
      </c>
      <c r="N36" s="38" t="s">
        <v>452</v>
      </c>
    </row>
    <row r="37" spans="1:14" s="8" customFormat="1" ht="20.399999999999999" x14ac:dyDescent="0.25">
      <c r="A37" s="140" t="s">
        <v>145</v>
      </c>
      <c r="B37" s="140" t="s">
        <v>157</v>
      </c>
      <c r="C37" s="34" t="s">
        <v>21</v>
      </c>
      <c r="D37" s="35" t="s">
        <v>25</v>
      </c>
      <c r="E37" s="35">
        <v>1</v>
      </c>
      <c r="F37" s="46" t="s">
        <v>28</v>
      </c>
      <c r="G37" s="72">
        <v>1</v>
      </c>
      <c r="H37" s="76" t="s">
        <v>14</v>
      </c>
      <c r="I37" s="48">
        <v>60</v>
      </c>
      <c r="J37" s="48">
        <v>60</v>
      </c>
      <c r="K37" s="82">
        <v>0.55000000000000004</v>
      </c>
      <c r="L37" s="82">
        <v>0.5</v>
      </c>
      <c r="M37" s="82">
        <v>0.9</v>
      </c>
      <c r="N37" s="38" t="s">
        <v>452</v>
      </c>
    </row>
    <row r="38" spans="1:14" s="8" customFormat="1" ht="20.399999999999999" x14ac:dyDescent="0.25">
      <c r="A38" s="140" t="s">
        <v>145</v>
      </c>
      <c r="B38" s="140" t="s">
        <v>157</v>
      </c>
      <c r="C38" s="34" t="s">
        <v>21</v>
      </c>
      <c r="D38" s="35" t="s">
        <v>25</v>
      </c>
      <c r="E38" s="35">
        <v>1</v>
      </c>
      <c r="F38" s="46" t="s">
        <v>74</v>
      </c>
      <c r="G38" s="72">
        <v>1</v>
      </c>
      <c r="H38" s="76" t="s">
        <v>14</v>
      </c>
      <c r="I38" s="48">
        <v>465</v>
      </c>
      <c r="J38" s="48">
        <v>465</v>
      </c>
      <c r="K38" s="82">
        <v>1.33</v>
      </c>
      <c r="L38" s="82">
        <v>0.85</v>
      </c>
      <c r="M38" s="82">
        <v>0.9</v>
      </c>
      <c r="N38" s="38" t="s">
        <v>452</v>
      </c>
    </row>
    <row r="39" spans="1:14" s="8" customFormat="1" ht="13.8" x14ac:dyDescent="0.25">
      <c r="A39" s="140"/>
      <c r="B39" s="140"/>
      <c r="C39" s="34"/>
      <c r="D39" s="35"/>
      <c r="E39" s="35"/>
      <c r="F39" s="46"/>
      <c r="G39" s="72"/>
      <c r="H39" s="76"/>
      <c r="I39" s="48"/>
      <c r="J39" s="48"/>
      <c r="K39" s="82"/>
      <c r="L39" s="82"/>
      <c r="M39" s="82"/>
      <c r="N39" s="38"/>
    </row>
    <row r="40" spans="1:14" s="8" customFormat="1" ht="20.399999999999999" x14ac:dyDescent="0.25">
      <c r="A40" s="140" t="s">
        <v>79</v>
      </c>
      <c r="B40" s="140" t="s">
        <v>81</v>
      </c>
      <c r="C40" s="34" t="s">
        <v>18</v>
      </c>
      <c r="D40" s="35" t="s">
        <v>59</v>
      </c>
      <c r="E40" s="35">
        <v>1</v>
      </c>
      <c r="F40" s="46" t="s">
        <v>90</v>
      </c>
      <c r="G40" s="72">
        <v>1</v>
      </c>
      <c r="H40" s="76" t="s">
        <v>14</v>
      </c>
      <c r="I40" s="48">
        <v>200</v>
      </c>
      <c r="J40" s="48">
        <v>220</v>
      </c>
      <c r="K40" s="82">
        <v>1.2</v>
      </c>
      <c r="L40" s="82">
        <v>1</v>
      </c>
      <c r="M40" s="82">
        <v>0.75</v>
      </c>
      <c r="N40" s="38" t="s">
        <v>452</v>
      </c>
    </row>
    <row r="41" spans="1:14" s="8" customFormat="1" ht="20.399999999999999" x14ac:dyDescent="0.25">
      <c r="A41" s="140" t="s">
        <v>79</v>
      </c>
      <c r="B41" s="140" t="s">
        <v>81</v>
      </c>
      <c r="C41" s="34" t="s">
        <v>18</v>
      </c>
      <c r="D41" s="35" t="s">
        <v>59</v>
      </c>
      <c r="E41" s="35">
        <v>1</v>
      </c>
      <c r="F41" s="46" t="s">
        <v>90</v>
      </c>
      <c r="G41" s="72">
        <v>1</v>
      </c>
      <c r="H41" s="76" t="s">
        <v>14</v>
      </c>
      <c r="I41" s="48">
        <v>200</v>
      </c>
      <c r="J41" s="48">
        <v>220</v>
      </c>
      <c r="K41" s="82">
        <v>1.2</v>
      </c>
      <c r="L41" s="82">
        <v>1</v>
      </c>
      <c r="M41" s="82">
        <v>0.75</v>
      </c>
      <c r="N41" s="38" t="s">
        <v>452</v>
      </c>
    </row>
    <row r="42" spans="1:14" s="8" customFormat="1" ht="20.399999999999999" x14ac:dyDescent="0.25">
      <c r="A42" s="140" t="s">
        <v>79</v>
      </c>
      <c r="B42" s="140" t="s">
        <v>81</v>
      </c>
      <c r="C42" s="34" t="s">
        <v>18</v>
      </c>
      <c r="D42" s="35" t="s">
        <v>59</v>
      </c>
      <c r="E42" s="35">
        <v>1</v>
      </c>
      <c r="F42" s="46" t="s">
        <v>90</v>
      </c>
      <c r="G42" s="72">
        <v>1</v>
      </c>
      <c r="H42" s="76" t="s">
        <v>14</v>
      </c>
      <c r="I42" s="48">
        <v>200</v>
      </c>
      <c r="J42" s="48">
        <v>220</v>
      </c>
      <c r="K42" s="82">
        <v>1.2</v>
      </c>
      <c r="L42" s="82">
        <v>1</v>
      </c>
      <c r="M42" s="82">
        <v>0.75</v>
      </c>
      <c r="N42" s="38" t="s">
        <v>452</v>
      </c>
    </row>
    <row r="43" spans="1:14" s="8" customFormat="1" ht="20.399999999999999" x14ac:dyDescent="0.25">
      <c r="A43" s="140" t="s">
        <v>79</v>
      </c>
      <c r="B43" s="140" t="s">
        <v>81</v>
      </c>
      <c r="C43" s="34" t="s">
        <v>18</v>
      </c>
      <c r="D43" s="35" t="s">
        <v>59</v>
      </c>
      <c r="E43" s="35">
        <v>1</v>
      </c>
      <c r="F43" s="46" t="s">
        <v>90</v>
      </c>
      <c r="G43" s="72">
        <v>1</v>
      </c>
      <c r="H43" s="76" t="s">
        <v>14</v>
      </c>
      <c r="I43" s="48">
        <v>200</v>
      </c>
      <c r="J43" s="48">
        <v>220</v>
      </c>
      <c r="K43" s="82">
        <v>1.2</v>
      </c>
      <c r="L43" s="82">
        <v>1</v>
      </c>
      <c r="M43" s="82">
        <v>0.75</v>
      </c>
      <c r="N43" s="38" t="s">
        <v>452</v>
      </c>
    </row>
    <row r="44" spans="1:14" s="8" customFormat="1" ht="20.399999999999999" x14ac:dyDescent="0.25">
      <c r="A44" s="140" t="s">
        <v>79</v>
      </c>
      <c r="B44" s="140" t="s">
        <v>81</v>
      </c>
      <c r="C44" s="34" t="s">
        <v>21</v>
      </c>
      <c r="D44" s="35" t="s">
        <v>59</v>
      </c>
      <c r="E44" s="35">
        <v>1</v>
      </c>
      <c r="F44" s="46" t="s">
        <v>75</v>
      </c>
      <c r="G44" s="72">
        <v>1</v>
      </c>
      <c r="H44" s="76" t="s">
        <v>14</v>
      </c>
      <c r="I44" s="48">
        <v>1400</v>
      </c>
      <c r="J44" s="48">
        <v>1400</v>
      </c>
      <c r="K44" s="82">
        <v>3.9</v>
      </c>
      <c r="L44" s="82">
        <v>1.52</v>
      </c>
      <c r="M44" s="82">
        <v>1.1299999999999999</v>
      </c>
      <c r="N44" s="38" t="s">
        <v>452</v>
      </c>
    </row>
    <row r="45" spans="1:14" s="8" customFormat="1" ht="20.399999999999999" x14ac:dyDescent="0.25">
      <c r="A45" s="140" t="s">
        <v>79</v>
      </c>
      <c r="B45" s="140" t="s">
        <v>81</v>
      </c>
      <c r="C45" s="34" t="s">
        <v>21</v>
      </c>
      <c r="D45" s="35" t="s">
        <v>59</v>
      </c>
      <c r="E45" s="35">
        <v>1</v>
      </c>
      <c r="F45" s="46" t="s">
        <v>60</v>
      </c>
      <c r="G45" s="72">
        <v>1</v>
      </c>
      <c r="H45" s="76" t="s">
        <v>14</v>
      </c>
      <c r="I45" s="51">
        <v>390</v>
      </c>
      <c r="J45" s="51">
        <v>390</v>
      </c>
      <c r="K45" s="82">
        <v>3</v>
      </c>
      <c r="L45" s="82">
        <v>0.6</v>
      </c>
      <c r="M45" s="82">
        <v>0.5</v>
      </c>
      <c r="N45" s="38" t="s">
        <v>452</v>
      </c>
    </row>
    <row r="46" spans="1:14" s="8" customFormat="1" ht="20.399999999999999" x14ac:dyDescent="0.25">
      <c r="A46" s="140" t="s">
        <v>79</v>
      </c>
      <c r="B46" s="140" t="s">
        <v>81</v>
      </c>
      <c r="C46" s="34" t="s">
        <v>21</v>
      </c>
      <c r="D46" s="35" t="s">
        <v>59</v>
      </c>
      <c r="E46" s="35">
        <v>1</v>
      </c>
      <c r="F46" s="46" t="s">
        <v>61</v>
      </c>
      <c r="G46" s="72">
        <v>1</v>
      </c>
      <c r="H46" s="76" t="s">
        <v>14</v>
      </c>
      <c r="I46" s="51">
        <v>390</v>
      </c>
      <c r="J46" s="51">
        <v>390</v>
      </c>
      <c r="K46" s="82">
        <v>3</v>
      </c>
      <c r="L46" s="82">
        <v>0.6</v>
      </c>
      <c r="M46" s="82">
        <v>0.5</v>
      </c>
      <c r="N46" s="38" t="s">
        <v>452</v>
      </c>
    </row>
    <row r="47" spans="1:14" s="8" customFormat="1" ht="20.399999999999999" x14ac:dyDescent="0.25">
      <c r="A47" s="140" t="s">
        <v>79</v>
      </c>
      <c r="B47" s="140" t="s">
        <v>81</v>
      </c>
      <c r="C47" s="34" t="s">
        <v>21</v>
      </c>
      <c r="D47" s="35" t="s">
        <v>59</v>
      </c>
      <c r="E47" s="35">
        <v>1</v>
      </c>
      <c r="F47" s="46" t="s">
        <v>62</v>
      </c>
      <c r="G47" s="72">
        <v>1</v>
      </c>
      <c r="H47" s="76" t="s">
        <v>14</v>
      </c>
      <c r="I47" s="51">
        <v>350</v>
      </c>
      <c r="J47" s="51">
        <v>350</v>
      </c>
      <c r="K47" s="82">
        <v>3</v>
      </c>
      <c r="L47" s="82">
        <v>1</v>
      </c>
      <c r="M47" s="82">
        <v>0.5</v>
      </c>
      <c r="N47" s="38" t="s">
        <v>452</v>
      </c>
    </row>
    <row r="48" spans="1:14" s="8" customFormat="1" ht="20.399999999999999" x14ac:dyDescent="0.25">
      <c r="A48" s="140" t="s">
        <v>79</v>
      </c>
      <c r="B48" s="140" t="s">
        <v>81</v>
      </c>
      <c r="C48" s="34" t="s">
        <v>21</v>
      </c>
      <c r="D48" s="35" t="s">
        <v>59</v>
      </c>
      <c r="E48" s="35">
        <v>1</v>
      </c>
      <c r="F48" s="46" t="s">
        <v>63</v>
      </c>
      <c r="G48" s="72">
        <v>1</v>
      </c>
      <c r="H48" s="76" t="s">
        <v>14</v>
      </c>
      <c r="I48" s="51">
        <v>478</v>
      </c>
      <c r="J48" s="51">
        <v>478</v>
      </c>
      <c r="K48" s="82">
        <v>3.8</v>
      </c>
      <c r="L48" s="82">
        <v>0.6</v>
      </c>
      <c r="M48" s="82">
        <v>0.5</v>
      </c>
      <c r="N48" s="38" t="s">
        <v>452</v>
      </c>
    </row>
    <row r="49" spans="1:14" s="8" customFormat="1" ht="20.399999999999999" x14ac:dyDescent="0.25">
      <c r="A49" s="140" t="s">
        <v>79</v>
      </c>
      <c r="B49" s="140" t="s">
        <v>81</v>
      </c>
      <c r="C49" s="34" t="s">
        <v>21</v>
      </c>
      <c r="D49" s="35" t="s">
        <v>59</v>
      </c>
      <c r="E49" s="35">
        <v>1</v>
      </c>
      <c r="F49" s="46" t="s">
        <v>64</v>
      </c>
      <c r="G49" s="72">
        <v>1</v>
      </c>
      <c r="H49" s="76" t="s">
        <v>14</v>
      </c>
      <c r="I49" s="51">
        <v>478</v>
      </c>
      <c r="J49" s="51">
        <v>478</v>
      </c>
      <c r="K49" s="82">
        <v>3.8</v>
      </c>
      <c r="L49" s="82">
        <v>0.6</v>
      </c>
      <c r="M49" s="82">
        <v>0.5</v>
      </c>
      <c r="N49" s="38" t="s">
        <v>452</v>
      </c>
    </row>
    <row r="50" spans="1:14" s="8" customFormat="1" ht="20.399999999999999" x14ac:dyDescent="0.25">
      <c r="A50" s="140" t="s">
        <v>79</v>
      </c>
      <c r="B50" s="140" t="s">
        <v>81</v>
      </c>
      <c r="C50" s="34" t="s">
        <v>21</v>
      </c>
      <c r="D50" s="35" t="s">
        <v>59</v>
      </c>
      <c r="E50" s="35">
        <v>1</v>
      </c>
      <c r="F50" s="46" t="s">
        <v>65</v>
      </c>
      <c r="G50" s="72">
        <v>1</v>
      </c>
      <c r="H50" s="76" t="s">
        <v>14</v>
      </c>
      <c r="I50" s="51">
        <v>173</v>
      </c>
      <c r="J50" s="51">
        <v>173</v>
      </c>
      <c r="K50" s="82">
        <v>1</v>
      </c>
      <c r="L50" s="82">
        <v>0.5</v>
      </c>
      <c r="M50" s="82">
        <v>0.9</v>
      </c>
      <c r="N50" s="38" t="s">
        <v>452</v>
      </c>
    </row>
    <row r="51" spans="1:14" s="8" customFormat="1" ht="20.399999999999999" x14ac:dyDescent="0.25">
      <c r="A51" s="140" t="s">
        <v>79</v>
      </c>
      <c r="B51" s="140" t="s">
        <v>81</v>
      </c>
      <c r="C51" s="34" t="s">
        <v>21</v>
      </c>
      <c r="D51" s="35" t="s">
        <v>59</v>
      </c>
      <c r="E51" s="35">
        <v>1</v>
      </c>
      <c r="F51" s="46" t="s">
        <v>66</v>
      </c>
      <c r="G51" s="72">
        <v>1</v>
      </c>
      <c r="H51" s="76" t="s">
        <v>14</v>
      </c>
      <c r="I51" s="51">
        <v>433</v>
      </c>
      <c r="J51" s="51">
        <v>433</v>
      </c>
      <c r="K51" s="82">
        <v>1.35</v>
      </c>
      <c r="L51" s="82">
        <v>0.85</v>
      </c>
      <c r="M51" s="82">
        <v>0.9</v>
      </c>
      <c r="N51" s="38" t="s">
        <v>452</v>
      </c>
    </row>
    <row r="52" spans="1:14" s="8" customFormat="1" ht="13.8" x14ac:dyDescent="0.25">
      <c r="A52" s="140"/>
      <c r="B52" s="140"/>
      <c r="C52" s="34"/>
      <c r="D52" s="35"/>
      <c r="E52" s="35"/>
      <c r="F52" s="46"/>
      <c r="G52" s="72"/>
      <c r="H52" s="76"/>
      <c r="I52" s="51"/>
      <c r="J52" s="51"/>
      <c r="K52" s="82"/>
      <c r="L52" s="82"/>
      <c r="M52" s="82"/>
      <c r="N52" s="38"/>
    </row>
    <row r="53" spans="1:14" s="8" customFormat="1" ht="26.4" x14ac:dyDescent="0.25">
      <c r="A53" s="140" t="s">
        <v>370</v>
      </c>
      <c r="B53" s="140" t="s">
        <v>366</v>
      </c>
      <c r="C53" s="34" t="s">
        <v>21</v>
      </c>
      <c r="D53" s="35" t="s">
        <v>25</v>
      </c>
      <c r="E53" s="35">
        <v>1</v>
      </c>
      <c r="F53" s="46" t="s">
        <v>379</v>
      </c>
      <c r="G53" s="75">
        <v>1</v>
      </c>
      <c r="H53" s="73" t="s">
        <v>14</v>
      </c>
      <c r="I53" s="48">
        <v>1340</v>
      </c>
      <c r="J53" s="48">
        <v>1340</v>
      </c>
      <c r="K53" s="82">
        <v>3.9</v>
      </c>
      <c r="L53" s="82">
        <v>1.3</v>
      </c>
      <c r="M53" s="82">
        <v>2.5</v>
      </c>
      <c r="N53" s="38" t="s">
        <v>85</v>
      </c>
    </row>
    <row r="54" spans="1:14" s="8" customFormat="1" ht="20.399999999999999" x14ac:dyDescent="0.25">
      <c r="A54" s="140" t="s">
        <v>370</v>
      </c>
      <c r="B54" s="140" t="s">
        <v>366</v>
      </c>
      <c r="C54" s="34" t="s">
        <v>19</v>
      </c>
      <c r="D54" s="35" t="s">
        <v>25</v>
      </c>
      <c r="E54" s="35">
        <v>1</v>
      </c>
      <c r="F54" s="46" t="s">
        <v>380</v>
      </c>
      <c r="G54" s="75">
        <v>2</v>
      </c>
      <c r="H54" s="73" t="s">
        <v>14</v>
      </c>
      <c r="I54" s="48">
        <v>520</v>
      </c>
      <c r="J54" s="48">
        <v>520</v>
      </c>
      <c r="K54" s="82">
        <v>2.62</v>
      </c>
      <c r="L54" s="82">
        <v>0.5</v>
      </c>
      <c r="M54" s="82">
        <v>1.5</v>
      </c>
      <c r="N54" s="38" t="s">
        <v>85</v>
      </c>
    </row>
    <row r="55" spans="1:14" s="9" customFormat="1" ht="20.399999999999999" x14ac:dyDescent="0.25">
      <c r="A55" s="140" t="s">
        <v>370</v>
      </c>
      <c r="B55" s="140" t="s">
        <v>366</v>
      </c>
      <c r="C55" s="34" t="s">
        <v>21</v>
      </c>
      <c r="D55" s="35" t="s">
        <v>25</v>
      </c>
      <c r="E55" s="35">
        <v>1</v>
      </c>
      <c r="F55" s="46" t="s">
        <v>381</v>
      </c>
      <c r="G55" s="75">
        <v>1</v>
      </c>
      <c r="H55" s="73" t="s">
        <v>14</v>
      </c>
      <c r="I55" s="48">
        <v>205</v>
      </c>
      <c r="J55" s="48">
        <v>205</v>
      </c>
      <c r="K55" s="82">
        <v>2.59</v>
      </c>
      <c r="L55" s="82">
        <v>0.5</v>
      </c>
      <c r="M55" s="82">
        <v>0.95</v>
      </c>
      <c r="N55" s="38" t="s">
        <v>85</v>
      </c>
    </row>
    <row r="56" spans="1:14" s="9" customFormat="1" ht="20.399999999999999" x14ac:dyDescent="0.25">
      <c r="A56" s="140" t="s">
        <v>370</v>
      </c>
      <c r="B56" s="140" t="s">
        <v>366</v>
      </c>
      <c r="C56" s="34" t="s">
        <v>21</v>
      </c>
      <c r="D56" s="35" t="s">
        <v>25</v>
      </c>
      <c r="E56" s="35">
        <v>1</v>
      </c>
      <c r="F56" s="46" t="s">
        <v>382</v>
      </c>
      <c r="G56" s="75">
        <v>1</v>
      </c>
      <c r="H56" s="73" t="s">
        <v>14</v>
      </c>
      <c r="I56" s="48">
        <v>250</v>
      </c>
      <c r="J56" s="48">
        <v>250</v>
      </c>
      <c r="K56" s="82">
        <v>2.29</v>
      </c>
      <c r="L56" s="82">
        <v>0.59</v>
      </c>
      <c r="M56" s="82">
        <v>0.7</v>
      </c>
      <c r="N56" s="38" t="s">
        <v>85</v>
      </c>
    </row>
    <row r="57" spans="1:14" ht="20.399999999999999" x14ac:dyDescent="0.25">
      <c r="A57" s="140" t="s">
        <v>370</v>
      </c>
      <c r="B57" s="140" t="s">
        <v>366</v>
      </c>
      <c r="C57" s="34" t="s">
        <v>21</v>
      </c>
      <c r="D57" s="35" t="s">
        <v>25</v>
      </c>
      <c r="E57" s="35">
        <v>1</v>
      </c>
      <c r="F57" s="46" t="s">
        <v>383</v>
      </c>
      <c r="G57" s="75">
        <v>1</v>
      </c>
      <c r="H57" s="73" t="s">
        <v>14</v>
      </c>
      <c r="I57" s="48">
        <v>55</v>
      </c>
      <c r="J57" s="48">
        <v>55</v>
      </c>
      <c r="K57" s="82">
        <v>0.55000000000000004</v>
      </c>
      <c r="L57" s="82">
        <v>0.5</v>
      </c>
      <c r="M57" s="82">
        <v>0.89</v>
      </c>
      <c r="N57" s="38" t="s">
        <v>85</v>
      </c>
    </row>
    <row r="58" spans="1:14" ht="20.399999999999999" x14ac:dyDescent="0.25">
      <c r="A58" s="140" t="s">
        <v>370</v>
      </c>
      <c r="B58" s="140" t="s">
        <v>366</v>
      </c>
      <c r="C58" s="34" t="s">
        <v>21</v>
      </c>
      <c r="D58" s="35" t="s">
        <v>25</v>
      </c>
      <c r="E58" s="35">
        <v>1</v>
      </c>
      <c r="F58" s="124" t="s">
        <v>384</v>
      </c>
      <c r="G58" s="75">
        <v>1</v>
      </c>
      <c r="H58" s="73" t="s">
        <v>14</v>
      </c>
      <c r="I58" s="125">
        <v>465</v>
      </c>
      <c r="J58" s="125">
        <v>465</v>
      </c>
      <c r="K58" s="82">
        <v>1.33</v>
      </c>
      <c r="L58" s="82">
        <v>0.85</v>
      </c>
      <c r="M58" s="82">
        <v>0.9</v>
      </c>
      <c r="N58" s="38" t="s">
        <v>85</v>
      </c>
    </row>
    <row r="59" spans="1:14" ht="20.399999999999999" x14ac:dyDescent="0.25">
      <c r="A59" s="140" t="s">
        <v>370</v>
      </c>
      <c r="B59" s="140" t="s">
        <v>366</v>
      </c>
      <c r="C59" s="34" t="s">
        <v>20</v>
      </c>
      <c r="D59" s="35" t="s">
        <v>140</v>
      </c>
      <c r="E59" s="35">
        <v>1</v>
      </c>
      <c r="F59" s="46" t="s">
        <v>385</v>
      </c>
      <c r="G59" s="75">
        <v>60</v>
      </c>
      <c r="H59" s="73" t="s">
        <v>14</v>
      </c>
      <c r="I59" s="51">
        <v>95</v>
      </c>
      <c r="J59" s="51">
        <v>150</v>
      </c>
      <c r="K59" s="82">
        <v>1.66</v>
      </c>
      <c r="L59" s="82">
        <v>0.5</v>
      </c>
      <c r="M59" s="82">
        <v>0.65</v>
      </c>
      <c r="N59" s="38" t="s">
        <v>85</v>
      </c>
    </row>
    <row r="60" spans="1:14" ht="20.399999999999999" x14ac:dyDescent="0.25">
      <c r="A60" s="140" t="s">
        <v>370</v>
      </c>
      <c r="B60" s="140" t="s">
        <v>366</v>
      </c>
      <c r="C60" s="34" t="s">
        <v>20</v>
      </c>
      <c r="D60" s="35" t="s">
        <v>140</v>
      </c>
      <c r="E60" s="35">
        <v>1</v>
      </c>
      <c r="F60" s="46" t="s">
        <v>386</v>
      </c>
      <c r="G60" s="75">
        <v>70</v>
      </c>
      <c r="H60" s="73" t="s">
        <v>14</v>
      </c>
      <c r="I60" s="51">
        <v>125</v>
      </c>
      <c r="J60" s="51">
        <v>180</v>
      </c>
      <c r="K60" s="82">
        <v>1.66</v>
      </c>
      <c r="L60" s="82">
        <v>0.5</v>
      </c>
      <c r="M60" s="82">
        <v>0.65</v>
      </c>
      <c r="N60" s="38" t="s">
        <v>85</v>
      </c>
    </row>
    <row r="61" spans="1:14" ht="20.399999999999999" x14ac:dyDescent="0.25">
      <c r="A61" s="140" t="s">
        <v>415</v>
      </c>
      <c r="B61" s="140" t="s">
        <v>387</v>
      </c>
      <c r="C61" s="34" t="s">
        <v>20</v>
      </c>
      <c r="D61" s="35" t="s">
        <v>25</v>
      </c>
      <c r="E61" s="35">
        <v>1</v>
      </c>
      <c r="F61" s="46" t="s">
        <v>440</v>
      </c>
      <c r="G61" s="128">
        <v>170</v>
      </c>
      <c r="H61" s="129" t="s">
        <v>14</v>
      </c>
      <c r="I61" s="47">
        <v>320</v>
      </c>
      <c r="J61" s="47">
        <v>415</v>
      </c>
      <c r="K61" s="82">
        <v>1.39</v>
      </c>
      <c r="L61" s="127">
        <v>0.99</v>
      </c>
      <c r="M61" s="127">
        <v>1.2</v>
      </c>
      <c r="N61" s="36" t="s">
        <v>85</v>
      </c>
    </row>
    <row r="62" spans="1:14" ht="26.4" x14ac:dyDescent="0.25">
      <c r="A62" s="140" t="s">
        <v>370</v>
      </c>
      <c r="B62" s="140" t="s">
        <v>387</v>
      </c>
      <c r="C62" s="35" t="s">
        <v>20</v>
      </c>
      <c r="D62" s="35" t="s">
        <v>25</v>
      </c>
      <c r="E62" s="35">
        <v>1</v>
      </c>
      <c r="F62" s="46" t="s">
        <v>504</v>
      </c>
      <c r="G62" s="128">
        <v>173</v>
      </c>
      <c r="H62" s="129" t="s">
        <v>14</v>
      </c>
      <c r="I62" s="47">
        <v>905</v>
      </c>
      <c r="J62" s="47">
        <v>1000</v>
      </c>
      <c r="K62" s="82">
        <v>1.39</v>
      </c>
      <c r="L62" s="127">
        <v>0.99</v>
      </c>
      <c r="M62" s="127">
        <v>1.2</v>
      </c>
      <c r="N62" s="36" t="s">
        <v>85</v>
      </c>
    </row>
    <row r="63" spans="1:14" ht="26.4" x14ac:dyDescent="0.25">
      <c r="A63" s="140" t="s">
        <v>370</v>
      </c>
      <c r="B63" s="140" t="s">
        <v>387</v>
      </c>
      <c r="C63" s="34" t="s">
        <v>21</v>
      </c>
      <c r="D63" s="35" t="s">
        <v>25</v>
      </c>
      <c r="E63" s="35">
        <v>1</v>
      </c>
      <c r="F63" s="46" t="s">
        <v>498</v>
      </c>
      <c r="G63" s="128">
        <v>1</v>
      </c>
      <c r="H63" s="129" t="s">
        <v>14</v>
      </c>
      <c r="I63" s="125">
        <v>1450</v>
      </c>
      <c r="J63" s="125">
        <v>1450</v>
      </c>
      <c r="K63" s="82">
        <v>4</v>
      </c>
      <c r="L63" s="82">
        <v>1.3</v>
      </c>
      <c r="M63" s="82">
        <v>1.9</v>
      </c>
      <c r="N63" s="36" t="s">
        <v>85</v>
      </c>
    </row>
    <row r="64" spans="1:14" ht="20.399999999999999" x14ac:dyDescent="0.25">
      <c r="A64" s="140" t="s">
        <v>370</v>
      </c>
      <c r="B64" s="140" t="s">
        <v>387</v>
      </c>
      <c r="C64" s="34" t="s">
        <v>19</v>
      </c>
      <c r="D64" s="35" t="s">
        <v>25</v>
      </c>
      <c r="E64" s="35">
        <v>1</v>
      </c>
      <c r="F64" s="46" t="s">
        <v>499</v>
      </c>
      <c r="G64" s="128">
        <v>4</v>
      </c>
      <c r="H64" s="129" t="s">
        <v>14</v>
      </c>
      <c r="I64" s="48">
        <v>780</v>
      </c>
      <c r="J64" s="48">
        <v>780</v>
      </c>
      <c r="K64" s="82">
        <v>3.03</v>
      </c>
      <c r="L64" s="82">
        <v>0.5</v>
      </c>
      <c r="M64" s="82">
        <v>1.87</v>
      </c>
      <c r="N64" s="36" t="s">
        <v>85</v>
      </c>
    </row>
    <row r="65" spans="1:14" ht="20.399999999999999" x14ac:dyDescent="0.25">
      <c r="A65" s="140" t="s">
        <v>370</v>
      </c>
      <c r="B65" s="140" t="s">
        <v>387</v>
      </c>
      <c r="C65" s="34" t="s">
        <v>21</v>
      </c>
      <c r="D65" s="35" t="s">
        <v>25</v>
      </c>
      <c r="E65" s="35">
        <v>1</v>
      </c>
      <c r="F65" s="46" t="s">
        <v>500</v>
      </c>
      <c r="G65" s="128">
        <v>1</v>
      </c>
      <c r="H65" s="129" t="s">
        <v>14</v>
      </c>
      <c r="I65" s="48">
        <v>200</v>
      </c>
      <c r="J65" s="48">
        <v>200</v>
      </c>
      <c r="K65" s="82">
        <v>2.54</v>
      </c>
      <c r="L65" s="82">
        <v>0.5</v>
      </c>
      <c r="M65" s="82">
        <v>0.99</v>
      </c>
      <c r="N65" s="36" t="s">
        <v>85</v>
      </c>
    </row>
    <row r="66" spans="1:14" ht="20.399999999999999" x14ac:dyDescent="0.25">
      <c r="A66" s="140" t="s">
        <v>370</v>
      </c>
      <c r="B66" s="140" t="s">
        <v>387</v>
      </c>
      <c r="C66" s="34" t="s">
        <v>21</v>
      </c>
      <c r="D66" s="35" t="s">
        <v>25</v>
      </c>
      <c r="E66" s="35">
        <v>1</v>
      </c>
      <c r="F66" s="46" t="s">
        <v>501</v>
      </c>
      <c r="G66" s="75">
        <v>1</v>
      </c>
      <c r="H66" s="73" t="s">
        <v>14</v>
      </c>
      <c r="I66" s="48">
        <v>460</v>
      </c>
      <c r="J66" s="48">
        <v>460</v>
      </c>
      <c r="K66" s="82">
        <v>3.36</v>
      </c>
      <c r="L66" s="82">
        <v>0.82</v>
      </c>
      <c r="M66" s="82">
        <v>1.46</v>
      </c>
      <c r="N66" s="36" t="s">
        <v>85</v>
      </c>
    </row>
    <row r="67" spans="1:14" ht="20.399999999999999" x14ac:dyDescent="0.25">
      <c r="A67" s="140" t="s">
        <v>370</v>
      </c>
      <c r="B67" s="140" t="s">
        <v>387</v>
      </c>
      <c r="C67" s="34" t="s">
        <v>21</v>
      </c>
      <c r="D67" s="35" t="s">
        <v>25</v>
      </c>
      <c r="E67" s="35">
        <v>1</v>
      </c>
      <c r="F67" s="46" t="s">
        <v>502</v>
      </c>
      <c r="G67" s="128">
        <v>1</v>
      </c>
      <c r="H67" s="129" t="s">
        <v>14</v>
      </c>
      <c r="I67" s="48">
        <v>55</v>
      </c>
      <c r="J67" s="48">
        <v>55</v>
      </c>
      <c r="K67" s="82">
        <v>0.9</v>
      </c>
      <c r="L67" s="82">
        <v>0.5</v>
      </c>
      <c r="M67" s="82">
        <v>0.56000000000000005</v>
      </c>
      <c r="N67" s="36" t="s">
        <v>85</v>
      </c>
    </row>
    <row r="68" spans="1:14" ht="20.399999999999999" x14ac:dyDescent="0.25">
      <c r="A68" s="140" t="s">
        <v>370</v>
      </c>
      <c r="B68" s="140" t="s">
        <v>387</v>
      </c>
      <c r="C68" s="34" t="s">
        <v>21</v>
      </c>
      <c r="D68" s="35" t="s">
        <v>25</v>
      </c>
      <c r="E68" s="35">
        <v>1</v>
      </c>
      <c r="F68" s="46" t="s">
        <v>503</v>
      </c>
      <c r="G68" s="128">
        <v>1</v>
      </c>
      <c r="H68" s="129" t="s">
        <v>14</v>
      </c>
      <c r="I68" s="48">
        <v>490</v>
      </c>
      <c r="J68" s="48">
        <v>490</v>
      </c>
      <c r="K68" s="82">
        <v>1.5</v>
      </c>
      <c r="L68" s="82">
        <v>1</v>
      </c>
      <c r="M68" s="82">
        <v>1</v>
      </c>
      <c r="N68" s="36" t="s">
        <v>85</v>
      </c>
    </row>
    <row r="69" spans="1:14" ht="26.4" x14ac:dyDescent="0.25">
      <c r="A69" s="140" t="s">
        <v>370</v>
      </c>
      <c r="B69" s="140" t="s">
        <v>545</v>
      </c>
      <c r="C69" s="34" t="s">
        <v>21</v>
      </c>
      <c r="D69" s="35" t="s">
        <v>25</v>
      </c>
      <c r="E69" s="35">
        <v>1</v>
      </c>
      <c r="F69" s="46" t="s">
        <v>539</v>
      </c>
      <c r="G69" s="75">
        <v>1</v>
      </c>
      <c r="H69" s="73" t="s">
        <v>14</v>
      </c>
      <c r="I69" s="48">
        <v>1335</v>
      </c>
      <c r="J69" s="48">
        <v>1335</v>
      </c>
      <c r="K69" s="82">
        <v>3.9</v>
      </c>
      <c r="L69" s="82">
        <v>1.3</v>
      </c>
      <c r="M69" s="82">
        <v>2.5</v>
      </c>
      <c r="N69" s="36" t="s">
        <v>85</v>
      </c>
    </row>
    <row r="70" spans="1:14" ht="20.399999999999999" x14ac:dyDescent="0.25">
      <c r="A70" s="140" t="s">
        <v>370</v>
      </c>
      <c r="B70" s="140" t="s">
        <v>545</v>
      </c>
      <c r="C70" s="34" t="s">
        <v>19</v>
      </c>
      <c r="D70" s="35" t="s">
        <v>25</v>
      </c>
      <c r="E70" s="35">
        <v>1</v>
      </c>
      <c r="F70" s="46" t="s">
        <v>540</v>
      </c>
      <c r="G70" s="75">
        <v>3</v>
      </c>
      <c r="H70" s="73" t="s">
        <v>14</v>
      </c>
      <c r="I70" s="48">
        <v>600</v>
      </c>
      <c r="J70" s="48">
        <v>600</v>
      </c>
      <c r="K70" s="82">
        <v>3.01</v>
      </c>
      <c r="L70" s="82">
        <v>0.5</v>
      </c>
      <c r="M70" s="82">
        <v>1.5</v>
      </c>
      <c r="N70" s="36" t="s">
        <v>85</v>
      </c>
    </row>
    <row r="71" spans="1:14" ht="20.399999999999999" x14ac:dyDescent="0.25">
      <c r="A71" s="140" t="s">
        <v>370</v>
      </c>
      <c r="B71" s="140" t="s">
        <v>545</v>
      </c>
      <c r="C71" s="34" t="s">
        <v>21</v>
      </c>
      <c r="D71" s="35" t="s">
        <v>25</v>
      </c>
      <c r="E71" s="35">
        <v>1</v>
      </c>
      <c r="F71" s="46" t="s">
        <v>541</v>
      </c>
      <c r="G71" s="75">
        <v>1</v>
      </c>
      <c r="H71" s="73" t="s">
        <v>14</v>
      </c>
      <c r="I71" s="48">
        <v>210</v>
      </c>
      <c r="J71" s="48">
        <v>210</v>
      </c>
      <c r="K71" s="82">
        <v>2.62</v>
      </c>
      <c r="L71" s="82">
        <v>0.59</v>
      </c>
      <c r="M71" s="82">
        <v>0.92</v>
      </c>
      <c r="N71" s="36" t="s">
        <v>85</v>
      </c>
    </row>
    <row r="72" spans="1:14" ht="20.399999999999999" x14ac:dyDescent="0.25">
      <c r="A72" s="140" t="s">
        <v>370</v>
      </c>
      <c r="B72" s="140" t="s">
        <v>545</v>
      </c>
      <c r="C72" s="34" t="s">
        <v>21</v>
      </c>
      <c r="D72" s="35" t="s">
        <v>25</v>
      </c>
      <c r="E72" s="35">
        <v>1</v>
      </c>
      <c r="F72" s="46" t="s">
        <v>542</v>
      </c>
      <c r="G72" s="75">
        <v>1</v>
      </c>
      <c r="H72" s="73" t="s">
        <v>14</v>
      </c>
      <c r="I72" s="48">
        <v>250</v>
      </c>
      <c r="J72" s="48">
        <v>250</v>
      </c>
      <c r="K72" s="82">
        <v>2.4</v>
      </c>
      <c r="L72" s="82">
        <v>0.59</v>
      </c>
      <c r="M72" s="82">
        <v>0.7</v>
      </c>
      <c r="N72" s="36" t="s">
        <v>85</v>
      </c>
    </row>
    <row r="73" spans="1:14" ht="20.399999999999999" x14ac:dyDescent="0.25">
      <c r="A73" s="140" t="s">
        <v>370</v>
      </c>
      <c r="B73" s="140" t="s">
        <v>545</v>
      </c>
      <c r="C73" s="34" t="s">
        <v>21</v>
      </c>
      <c r="D73" s="35" t="s">
        <v>25</v>
      </c>
      <c r="E73" s="35">
        <v>1</v>
      </c>
      <c r="F73" s="46" t="s">
        <v>543</v>
      </c>
      <c r="G73" s="75">
        <v>1</v>
      </c>
      <c r="H73" s="73" t="s">
        <v>14</v>
      </c>
      <c r="I73" s="48">
        <v>55</v>
      </c>
      <c r="J73" s="48">
        <v>55</v>
      </c>
      <c r="K73" s="82">
        <v>0.55000000000000004</v>
      </c>
      <c r="L73" s="82">
        <v>0.5</v>
      </c>
      <c r="M73" s="82">
        <v>0.89</v>
      </c>
      <c r="N73" s="36" t="s">
        <v>85</v>
      </c>
    </row>
    <row r="74" spans="1:14" ht="20.399999999999999" x14ac:dyDescent="0.25">
      <c r="A74" s="140" t="s">
        <v>370</v>
      </c>
      <c r="B74" s="140" t="s">
        <v>545</v>
      </c>
      <c r="C74" s="34" t="s">
        <v>21</v>
      </c>
      <c r="D74" s="35" t="s">
        <v>25</v>
      </c>
      <c r="E74" s="35">
        <v>1</v>
      </c>
      <c r="F74" s="46" t="s">
        <v>544</v>
      </c>
      <c r="G74" s="75">
        <v>1</v>
      </c>
      <c r="H74" s="73" t="s">
        <v>14</v>
      </c>
      <c r="I74" s="48">
        <v>400</v>
      </c>
      <c r="J74" s="48">
        <v>400</v>
      </c>
      <c r="K74" s="82">
        <v>1.33</v>
      </c>
      <c r="L74" s="82">
        <v>0.85</v>
      </c>
      <c r="M74" s="82">
        <v>0.9</v>
      </c>
      <c r="N74" s="36" t="s">
        <v>85</v>
      </c>
    </row>
    <row r="75" spans="1:14" ht="20.399999999999999" x14ac:dyDescent="0.25">
      <c r="A75" s="140" t="s">
        <v>604</v>
      </c>
      <c r="B75" s="140" t="s">
        <v>611</v>
      </c>
      <c r="C75" s="159" t="s">
        <v>683</v>
      </c>
      <c r="D75" s="35" t="s">
        <v>619</v>
      </c>
      <c r="E75" s="35">
        <v>1</v>
      </c>
      <c r="F75" s="46" t="s">
        <v>680</v>
      </c>
      <c r="G75" s="128">
        <v>54</v>
      </c>
      <c r="H75" s="129" t="s">
        <v>14</v>
      </c>
      <c r="I75" s="48">
        <v>416</v>
      </c>
      <c r="J75" s="48">
        <v>496</v>
      </c>
      <c r="K75" s="82">
        <v>2.1</v>
      </c>
      <c r="L75" s="82">
        <v>0.75</v>
      </c>
      <c r="M75" s="82">
        <v>0.5</v>
      </c>
      <c r="N75" s="36" t="s">
        <v>85</v>
      </c>
    </row>
    <row r="76" spans="1:14" ht="20.399999999999999" x14ac:dyDescent="0.25">
      <c r="A76" s="140" t="s">
        <v>604</v>
      </c>
      <c r="B76" s="140" t="s">
        <v>611</v>
      </c>
      <c r="C76" s="159" t="s">
        <v>684</v>
      </c>
      <c r="D76" s="35" t="s">
        <v>619</v>
      </c>
      <c r="E76" s="35">
        <v>1</v>
      </c>
      <c r="F76" s="46" t="s">
        <v>681</v>
      </c>
      <c r="G76" s="128">
        <v>46</v>
      </c>
      <c r="H76" s="129" t="s">
        <v>14</v>
      </c>
      <c r="I76" s="48">
        <v>355</v>
      </c>
      <c r="J76" s="48">
        <v>435</v>
      </c>
      <c r="K76" s="82">
        <v>2.1</v>
      </c>
      <c r="L76" s="82">
        <v>0.75</v>
      </c>
      <c r="M76" s="82">
        <v>0.5</v>
      </c>
      <c r="N76" s="36" t="s">
        <v>85</v>
      </c>
    </row>
    <row r="77" spans="1:14" ht="20.399999999999999" x14ac:dyDescent="0.25">
      <c r="A77" s="140" t="s">
        <v>604</v>
      </c>
      <c r="B77" s="140" t="s">
        <v>611</v>
      </c>
      <c r="C77" s="159" t="s">
        <v>685</v>
      </c>
      <c r="D77" s="35" t="s">
        <v>619</v>
      </c>
      <c r="E77" s="35">
        <v>1</v>
      </c>
      <c r="F77" s="46" t="s">
        <v>682</v>
      </c>
      <c r="G77" s="128">
        <v>60</v>
      </c>
      <c r="H77" s="129" t="s">
        <v>14</v>
      </c>
      <c r="I77" s="48">
        <v>432</v>
      </c>
      <c r="J77" s="48">
        <v>547</v>
      </c>
      <c r="K77" s="82">
        <v>2.2999999999999998</v>
      </c>
      <c r="L77" s="82">
        <v>0.75</v>
      </c>
      <c r="M77" s="82">
        <v>0.5</v>
      </c>
      <c r="N77" s="36" t="s">
        <v>85</v>
      </c>
    </row>
    <row r="78" spans="1:14" ht="79.2" x14ac:dyDescent="0.25">
      <c r="A78" s="140" t="s">
        <v>604</v>
      </c>
      <c r="B78" s="140" t="s">
        <v>611</v>
      </c>
      <c r="C78" s="34" t="s">
        <v>20</v>
      </c>
      <c r="D78" s="35" t="s">
        <v>619</v>
      </c>
      <c r="E78" s="35">
        <v>1</v>
      </c>
      <c r="F78" s="46" t="s">
        <v>865</v>
      </c>
      <c r="G78" s="72">
        <v>86</v>
      </c>
      <c r="H78" s="73" t="s">
        <v>14</v>
      </c>
      <c r="I78" s="48">
        <v>540</v>
      </c>
      <c r="J78" s="48">
        <v>570</v>
      </c>
      <c r="K78" s="82">
        <v>1.1100000000000001</v>
      </c>
      <c r="L78" s="82">
        <v>0.75</v>
      </c>
      <c r="M78" s="82">
        <v>0.64</v>
      </c>
      <c r="N78" s="36" t="s">
        <v>85</v>
      </c>
    </row>
    <row r="79" spans="1:14" ht="26.4" x14ac:dyDescent="0.25">
      <c r="A79" s="140" t="s">
        <v>604</v>
      </c>
      <c r="B79" s="140" t="s">
        <v>611</v>
      </c>
      <c r="C79" s="34" t="s">
        <v>20</v>
      </c>
      <c r="D79" s="35" t="s">
        <v>619</v>
      </c>
      <c r="E79" s="35">
        <v>1</v>
      </c>
      <c r="F79" s="46" t="s">
        <v>866</v>
      </c>
      <c r="G79" s="147">
        <v>4</v>
      </c>
      <c r="H79" s="129" t="s">
        <v>14</v>
      </c>
      <c r="I79" s="48">
        <v>505</v>
      </c>
      <c r="J79" s="48">
        <v>535</v>
      </c>
      <c r="K79" s="82">
        <v>1.1100000000000001</v>
      </c>
      <c r="L79" s="82">
        <v>0.75</v>
      </c>
      <c r="M79" s="82">
        <v>0.64</v>
      </c>
      <c r="N79" s="36" t="s">
        <v>85</v>
      </c>
    </row>
    <row r="80" spans="1:14" ht="20.399999999999999" x14ac:dyDescent="0.25">
      <c r="A80" s="140" t="s">
        <v>604</v>
      </c>
      <c r="B80" s="140" t="s">
        <v>611</v>
      </c>
      <c r="C80" s="34" t="s">
        <v>21</v>
      </c>
      <c r="D80" s="35" t="s">
        <v>619</v>
      </c>
      <c r="E80" s="35">
        <v>1</v>
      </c>
      <c r="F80" s="46" t="s">
        <v>867</v>
      </c>
      <c r="G80" s="128">
        <v>1</v>
      </c>
      <c r="H80" s="129" t="s">
        <v>14</v>
      </c>
      <c r="I80" s="48">
        <v>20</v>
      </c>
      <c r="J80" s="48">
        <v>20</v>
      </c>
      <c r="K80" s="82">
        <v>2.1</v>
      </c>
      <c r="L80" s="82">
        <v>0.8</v>
      </c>
      <c r="M80" s="82">
        <v>0.6</v>
      </c>
      <c r="N80" s="36" t="s">
        <v>85</v>
      </c>
    </row>
    <row r="81" spans="1:14" ht="132" x14ac:dyDescent="0.25">
      <c r="A81" s="140" t="s">
        <v>604</v>
      </c>
      <c r="B81" s="140" t="s">
        <v>611</v>
      </c>
      <c r="C81" s="34" t="s">
        <v>20</v>
      </c>
      <c r="D81" s="35" t="s">
        <v>619</v>
      </c>
      <c r="E81" s="35">
        <v>1</v>
      </c>
      <c r="F81" s="46" t="s">
        <v>868</v>
      </c>
      <c r="G81" s="128">
        <v>2704</v>
      </c>
      <c r="H81" s="129" t="s">
        <v>14</v>
      </c>
      <c r="I81" s="48">
        <v>155</v>
      </c>
      <c r="J81" s="48">
        <v>180</v>
      </c>
      <c r="K81" s="82">
        <v>0.83</v>
      </c>
      <c r="L81" s="82">
        <v>0.45</v>
      </c>
      <c r="M81" s="82">
        <v>0.7</v>
      </c>
      <c r="N81" s="36" t="s">
        <v>85</v>
      </c>
    </row>
    <row r="82" spans="1:14" ht="26.4" x14ac:dyDescent="0.25">
      <c r="A82" s="140" t="s">
        <v>703</v>
      </c>
      <c r="B82" s="140" t="s">
        <v>611</v>
      </c>
      <c r="C82" s="34" t="s">
        <v>21</v>
      </c>
      <c r="D82" s="35" t="s">
        <v>619</v>
      </c>
      <c r="E82" s="35">
        <v>1</v>
      </c>
      <c r="F82" s="46" t="s">
        <v>878</v>
      </c>
      <c r="G82" s="128">
        <v>1</v>
      </c>
      <c r="H82" s="129" t="s">
        <v>14</v>
      </c>
      <c r="I82" s="48">
        <v>815</v>
      </c>
      <c r="J82" s="48">
        <v>845</v>
      </c>
      <c r="K82" s="82">
        <v>1.45</v>
      </c>
      <c r="L82" s="82">
        <v>0.8</v>
      </c>
      <c r="M82" s="82">
        <v>0.75</v>
      </c>
      <c r="N82" s="36" t="s">
        <v>85</v>
      </c>
    </row>
    <row r="83" spans="1:14" ht="20.399999999999999" x14ac:dyDescent="0.25">
      <c r="A83" s="140" t="s">
        <v>879</v>
      </c>
      <c r="B83" s="140" t="s">
        <v>611</v>
      </c>
      <c r="C83" s="34" t="s">
        <v>21</v>
      </c>
      <c r="D83" s="35" t="s">
        <v>619</v>
      </c>
      <c r="E83" s="35">
        <v>1</v>
      </c>
      <c r="F83" s="46" t="s">
        <v>869</v>
      </c>
      <c r="G83" s="128">
        <v>1</v>
      </c>
      <c r="H83" s="129" t="s">
        <v>14</v>
      </c>
      <c r="I83" s="48">
        <v>1185</v>
      </c>
      <c r="J83" s="48">
        <v>1185</v>
      </c>
      <c r="K83" s="82">
        <v>2.92</v>
      </c>
      <c r="L83" s="82">
        <v>1.35</v>
      </c>
      <c r="M83" s="82">
        <v>1.32</v>
      </c>
      <c r="N83" s="36" t="s">
        <v>85</v>
      </c>
    </row>
    <row r="84" spans="1:14" ht="20.399999999999999" x14ac:dyDescent="0.25">
      <c r="A84" s="140" t="s">
        <v>879</v>
      </c>
      <c r="B84" s="140" t="s">
        <v>611</v>
      </c>
      <c r="C84" s="34" t="s">
        <v>21</v>
      </c>
      <c r="D84" s="35" t="s">
        <v>619</v>
      </c>
      <c r="E84" s="35">
        <v>1</v>
      </c>
      <c r="F84" s="46" t="s">
        <v>870</v>
      </c>
      <c r="G84" s="128">
        <v>1</v>
      </c>
      <c r="H84" s="129" t="s">
        <v>14</v>
      </c>
      <c r="I84" s="48">
        <v>280</v>
      </c>
      <c r="J84" s="48">
        <v>280</v>
      </c>
      <c r="K84" s="82">
        <v>3.03</v>
      </c>
      <c r="L84" s="82">
        <v>0.7</v>
      </c>
      <c r="M84" s="82">
        <v>0.75</v>
      </c>
      <c r="N84" s="36" t="s">
        <v>85</v>
      </c>
    </row>
    <row r="85" spans="1:14" ht="20.399999999999999" x14ac:dyDescent="0.25">
      <c r="A85" s="140" t="s">
        <v>879</v>
      </c>
      <c r="B85" s="140" t="s">
        <v>611</v>
      </c>
      <c r="C85" s="34" t="s">
        <v>21</v>
      </c>
      <c r="D85" s="35" t="s">
        <v>619</v>
      </c>
      <c r="E85" s="35">
        <v>1</v>
      </c>
      <c r="F85" s="46" t="s">
        <v>871</v>
      </c>
      <c r="G85" s="128">
        <v>1</v>
      </c>
      <c r="H85" s="129" t="s">
        <v>14</v>
      </c>
      <c r="I85" s="48">
        <v>280</v>
      </c>
      <c r="J85" s="48">
        <v>280</v>
      </c>
      <c r="K85" s="82">
        <v>3.03</v>
      </c>
      <c r="L85" s="82">
        <v>0.7</v>
      </c>
      <c r="M85" s="82">
        <v>0.75</v>
      </c>
      <c r="N85" s="36" t="s">
        <v>85</v>
      </c>
    </row>
    <row r="86" spans="1:14" ht="20.399999999999999" x14ac:dyDescent="0.25">
      <c r="A86" s="140" t="s">
        <v>879</v>
      </c>
      <c r="B86" s="140" t="s">
        <v>611</v>
      </c>
      <c r="C86" s="34" t="s">
        <v>21</v>
      </c>
      <c r="D86" s="35" t="s">
        <v>619</v>
      </c>
      <c r="E86" s="35">
        <v>1</v>
      </c>
      <c r="F86" s="46" t="s">
        <v>872</v>
      </c>
      <c r="G86" s="128">
        <v>1</v>
      </c>
      <c r="H86" s="129" t="s">
        <v>14</v>
      </c>
      <c r="I86" s="48">
        <v>280</v>
      </c>
      <c r="J86" s="48">
        <v>280</v>
      </c>
      <c r="K86" s="82">
        <v>3.03</v>
      </c>
      <c r="L86" s="82">
        <v>0.7</v>
      </c>
      <c r="M86" s="82">
        <v>0.75</v>
      </c>
      <c r="N86" s="36" t="s">
        <v>85</v>
      </c>
    </row>
    <row r="87" spans="1:14" ht="20.399999999999999" x14ac:dyDescent="0.25">
      <c r="A87" s="140" t="s">
        <v>879</v>
      </c>
      <c r="B87" s="140" t="s">
        <v>611</v>
      </c>
      <c r="C87" s="34" t="s">
        <v>21</v>
      </c>
      <c r="D87" s="35" t="s">
        <v>619</v>
      </c>
      <c r="E87" s="35">
        <v>1</v>
      </c>
      <c r="F87" s="46" t="s">
        <v>873</v>
      </c>
      <c r="G87" s="128">
        <v>1</v>
      </c>
      <c r="H87" s="129" t="s">
        <v>14</v>
      </c>
      <c r="I87" s="48">
        <v>280</v>
      </c>
      <c r="J87" s="48">
        <v>280</v>
      </c>
      <c r="K87" s="82">
        <v>3.03</v>
      </c>
      <c r="L87" s="82">
        <v>0.7</v>
      </c>
      <c r="M87" s="82">
        <v>0.75</v>
      </c>
      <c r="N87" s="36" t="s">
        <v>85</v>
      </c>
    </row>
    <row r="88" spans="1:14" ht="20.399999999999999" x14ac:dyDescent="0.25">
      <c r="A88" s="140" t="s">
        <v>879</v>
      </c>
      <c r="B88" s="140" t="s">
        <v>611</v>
      </c>
      <c r="C88" s="34" t="s">
        <v>21</v>
      </c>
      <c r="D88" s="35" t="s">
        <v>619</v>
      </c>
      <c r="E88" s="35">
        <v>1</v>
      </c>
      <c r="F88" s="46" t="s">
        <v>874</v>
      </c>
      <c r="G88" s="128">
        <v>1</v>
      </c>
      <c r="H88" s="129" t="s">
        <v>14</v>
      </c>
      <c r="I88" s="48">
        <v>280</v>
      </c>
      <c r="J88" s="48">
        <v>280</v>
      </c>
      <c r="K88" s="82">
        <v>3.03</v>
      </c>
      <c r="L88" s="82">
        <v>0.7</v>
      </c>
      <c r="M88" s="82">
        <v>0.75</v>
      </c>
      <c r="N88" s="36" t="s">
        <v>85</v>
      </c>
    </row>
    <row r="89" spans="1:14" ht="20.399999999999999" x14ac:dyDescent="0.25">
      <c r="A89" s="140" t="s">
        <v>879</v>
      </c>
      <c r="B89" s="140" t="s">
        <v>611</v>
      </c>
      <c r="C89" s="34" t="s">
        <v>21</v>
      </c>
      <c r="D89" s="35" t="s">
        <v>619</v>
      </c>
      <c r="E89" s="35">
        <v>1</v>
      </c>
      <c r="F89" s="46" t="s">
        <v>875</v>
      </c>
      <c r="G89" s="128">
        <v>1</v>
      </c>
      <c r="H89" s="129" t="s">
        <v>14</v>
      </c>
      <c r="I89" s="48">
        <v>190</v>
      </c>
      <c r="J89" s="48">
        <v>190</v>
      </c>
      <c r="K89" s="82">
        <v>1.99</v>
      </c>
      <c r="L89" s="82">
        <v>0.7</v>
      </c>
      <c r="M89" s="82">
        <v>0.75</v>
      </c>
      <c r="N89" s="36" t="s">
        <v>85</v>
      </c>
    </row>
    <row r="90" spans="1:14" ht="20.399999999999999" x14ac:dyDescent="0.25">
      <c r="A90" s="140" t="s">
        <v>879</v>
      </c>
      <c r="B90" s="140" t="s">
        <v>611</v>
      </c>
      <c r="C90" s="34" t="s">
        <v>21</v>
      </c>
      <c r="D90" s="35" t="s">
        <v>619</v>
      </c>
      <c r="E90" s="35">
        <v>1</v>
      </c>
      <c r="F90" s="46" t="s">
        <v>381</v>
      </c>
      <c r="G90" s="128">
        <v>1</v>
      </c>
      <c r="H90" s="129" t="s">
        <v>14</v>
      </c>
      <c r="I90" s="48">
        <v>440</v>
      </c>
      <c r="J90" s="48">
        <v>440</v>
      </c>
      <c r="K90" s="82">
        <v>3.58</v>
      </c>
      <c r="L90" s="82">
        <v>0.76</v>
      </c>
      <c r="M90" s="82">
        <v>1.42</v>
      </c>
      <c r="N90" s="36" t="s">
        <v>85</v>
      </c>
    </row>
    <row r="91" spans="1:14" ht="20.399999999999999" x14ac:dyDescent="0.25">
      <c r="A91" s="140" t="s">
        <v>879</v>
      </c>
      <c r="B91" s="140" t="s">
        <v>611</v>
      </c>
      <c r="C91" s="34" t="s">
        <v>21</v>
      </c>
      <c r="D91" s="35" t="s">
        <v>619</v>
      </c>
      <c r="E91" s="35">
        <v>1</v>
      </c>
      <c r="F91" s="46" t="s">
        <v>876</v>
      </c>
      <c r="G91" s="75">
        <v>1</v>
      </c>
      <c r="H91" s="73" t="s">
        <v>14</v>
      </c>
      <c r="I91" s="48">
        <v>735</v>
      </c>
      <c r="J91" s="48">
        <v>735</v>
      </c>
      <c r="K91" s="82">
        <v>3.92</v>
      </c>
      <c r="L91" s="82">
        <v>1.28</v>
      </c>
      <c r="M91" s="82">
        <v>1.61</v>
      </c>
      <c r="N91" s="36" t="s">
        <v>85</v>
      </c>
    </row>
    <row r="92" spans="1:14" ht="20.399999999999999" x14ac:dyDescent="0.25">
      <c r="A92" s="140" t="s">
        <v>879</v>
      </c>
      <c r="B92" s="140" t="s">
        <v>611</v>
      </c>
      <c r="C92" s="34" t="s">
        <v>21</v>
      </c>
      <c r="D92" s="35" t="s">
        <v>619</v>
      </c>
      <c r="E92" s="35">
        <v>1</v>
      </c>
      <c r="F92" s="46" t="s">
        <v>877</v>
      </c>
      <c r="G92" s="128">
        <v>1</v>
      </c>
      <c r="H92" s="129" t="s">
        <v>14</v>
      </c>
      <c r="I92" s="48">
        <v>270</v>
      </c>
      <c r="J92" s="48">
        <v>270</v>
      </c>
      <c r="K92" s="82">
        <v>2.63</v>
      </c>
      <c r="L92" s="82">
        <v>0.7</v>
      </c>
      <c r="M92" s="82">
        <v>1.05</v>
      </c>
      <c r="N92" s="36" t="s">
        <v>85</v>
      </c>
    </row>
    <row r="93" spans="1:14" ht="20.399999999999999" x14ac:dyDescent="0.25">
      <c r="A93" s="140" t="s">
        <v>879</v>
      </c>
      <c r="B93" s="140" t="s">
        <v>611</v>
      </c>
      <c r="C93" s="34" t="s">
        <v>21</v>
      </c>
      <c r="D93" s="35" t="s">
        <v>619</v>
      </c>
      <c r="E93" s="35">
        <v>1</v>
      </c>
      <c r="F93" s="46" t="s">
        <v>384</v>
      </c>
      <c r="G93" s="128">
        <v>1</v>
      </c>
      <c r="H93" s="129" t="s">
        <v>14</v>
      </c>
      <c r="I93" s="48">
        <v>730</v>
      </c>
      <c r="J93" s="48">
        <v>730</v>
      </c>
      <c r="K93" s="82">
        <v>2.0099999999999998</v>
      </c>
      <c r="L93" s="82">
        <v>1</v>
      </c>
      <c r="M93" s="82">
        <v>1</v>
      </c>
      <c r="N93" s="36" t="s">
        <v>85</v>
      </c>
    </row>
    <row r="94" spans="1:14" ht="26.4" x14ac:dyDescent="0.25">
      <c r="A94" s="140" t="s">
        <v>551</v>
      </c>
      <c r="B94" s="140" t="s">
        <v>895</v>
      </c>
      <c r="C94" s="34" t="s">
        <v>21</v>
      </c>
      <c r="D94" s="35" t="s">
        <v>25</v>
      </c>
      <c r="E94" s="35">
        <v>1</v>
      </c>
      <c r="F94" s="46" t="s">
        <v>807</v>
      </c>
      <c r="G94" s="75">
        <v>1</v>
      </c>
      <c r="H94" s="73" t="s">
        <v>14</v>
      </c>
      <c r="I94" s="48">
        <v>1515</v>
      </c>
      <c r="J94" s="48">
        <v>1515</v>
      </c>
      <c r="K94" s="82">
        <v>3.9</v>
      </c>
      <c r="L94" s="82">
        <v>1.3</v>
      </c>
      <c r="M94" s="82">
        <v>2.5</v>
      </c>
      <c r="N94" s="36" t="s">
        <v>85</v>
      </c>
    </row>
    <row r="95" spans="1:14" ht="20.399999999999999" x14ac:dyDescent="0.25">
      <c r="A95" s="140" t="s">
        <v>551</v>
      </c>
      <c r="B95" s="140" t="s">
        <v>895</v>
      </c>
      <c r="C95" s="34" t="s">
        <v>21</v>
      </c>
      <c r="D95" s="35" t="s">
        <v>25</v>
      </c>
      <c r="E95" s="35">
        <v>1</v>
      </c>
      <c r="F95" s="46" t="s">
        <v>808</v>
      </c>
      <c r="G95" s="75">
        <v>1</v>
      </c>
      <c r="H95" s="73" t="s">
        <v>14</v>
      </c>
      <c r="I95" s="48">
        <v>340</v>
      </c>
      <c r="J95" s="48">
        <v>340</v>
      </c>
      <c r="K95" s="82">
        <v>3.74</v>
      </c>
      <c r="L95" s="82">
        <v>0.5</v>
      </c>
      <c r="M95" s="82">
        <v>0.5</v>
      </c>
      <c r="N95" s="36" t="s">
        <v>85</v>
      </c>
    </row>
    <row r="96" spans="1:14" ht="20.399999999999999" x14ac:dyDescent="0.25">
      <c r="A96" s="140" t="s">
        <v>551</v>
      </c>
      <c r="B96" s="140" t="s">
        <v>895</v>
      </c>
      <c r="C96" s="34" t="s">
        <v>21</v>
      </c>
      <c r="D96" s="35" t="s">
        <v>25</v>
      </c>
      <c r="E96" s="35">
        <v>1</v>
      </c>
      <c r="F96" s="46" t="s">
        <v>809</v>
      </c>
      <c r="G96" s="75">
        <v>1</v>
      </c>
      <c r="H96" s="73" t="s">
        <v>14</v>
      </c>
      <c r="I96" s="48">
        <v>340</v>
      </c>
      <c r="J96" s="48">
        <v>340</v>
      </c>
      <c r="K96" s="82">
        <v>3.74</v>
      </c>
      <c r="L96" s="82">
        <v>0.5</v>
      </c>
      <c r="M96" s="82">
        <v>0.5</v>
      </c>
      <c r="N96" s="36" t="s">
        <v>85</v>
      </c>
    </row>
    <row r="97" spans="1:14" ht="20.399999999999999" x14ac:dyDescent="0.25">
      <c r="A97" s="140" t="s">
        <v>551</v>
      </c>
      <c r="B97" s="140" t="s">
        <v>895</v>
      </c>
      <c r="C97" s="34" t="s">
        <v>21</v>
      </c>
      <c r="D97" s="35" t="s">
        <v>25</v>
      </c>
      <c r="E97" s="35">
        <v>1</v>
      </c>
      <c r="F97" s="46" t="s">
        <v>810</v>
      </c>
      <c r="G97" s="75">
        <v>1</v>
      </c>
      <c r="H97" s="73" t="s">
        <v>14</v>
      </c>
      <c r="I97" s="48">
        <v>115</v>
      </c>
      <c r="J97" s="48">
        <v>115</v>
      </c>
      <c r="K97" s="82">
        <v>1.1399999999999999</v>
      </c>
      <c r="L97" s="82">
        <v>0.5</v>
      </c>
      <c r="M97" s="82">
        <v>0.5</v>
      </c>
      <c r="N97" s="36" t="s">
        <v>85</v>
      </c>
    </row>
    <row r="98" spans="1:14" ht="20.399999999999999" x14ac:dyDescent="0.25">
      <c r="A98" s="140" t="s">
        <v>551</v>
      </c>
      <c r="B98" s="140" t="s">
        <v>895</v>
      </c>
      <c r="C98" s="34" t="s">
        <v>21</v>
      </c>
      <c r="D98" s="35" t="s">
        <v>25</v>
      </c>
      <c r="E98" s="35">
        <v>1</v>
      </c>
      <c r="F98" s="46" t="s">
        <v>811</v>
      </c>
      <c r="G98" s="75">
        <v>1</v>
      </c>
      <c r="H98" s="73" t="s">
        <v>14</v>
      </c>
      <c r="I98" s="48">
        <v>200</v>
      </c>
      <c r="J98" s="48">
        <v>200</v>
      </c>
      <c r="K98" s="82">
        <v>1.82</v>
      </c>
      <c r="L98" s="82">
        <v>0.5</v>
      </c>
      <c r="M98" s="82">
        <v>0.8</v>
      </c>
      <c r="N98" s="36" t="s">
        <v>85</v>
      </c>
    </row>
    <row r="99" spans="1:14" ht="20.399999999999999" x14ac:dyDescent="0.25">
      <c r="A99" s="140" t="s">
        <v>551</v>
      </c>
      <c r="B99" s="140" t="s">
        <v>895</v>
      </c>
      <c r="C99" s="34" t="s">
        <v>21</v>
      </c>
      <c r="D99" s="35" t="s">
        <v>25</v>
      </c>
      <c r="E99" s="35">
        <v>1</v>
      </c>
      <c r="F99" s="46" t="s">
        <v>812</v>
      </c>
      <c r="G99" s="75">
        <v>1</v>
      </c>
      <c r="H99" s="73" t="s">
        <v>14</v>
      </c>
      <c r="I99" s="48">
        <v>325</v>
      </c>
      <c r="J99" s="48">
        <v>325</v>
      </c>
      <c r="K99" s="82">
        <v>2.2999999999999998</v>
      </c>
      <c r="L99" s="82">
        <v>0.59</v>
      </c>
      <c r="M99" s="82">
        <v>0.7</v>
      </c>
      <c r="N99" s="36" t="s">
        <v>85</v>
      </c>
    </row>
    <row r="100" spans="1:14" ht="20.399999999999999" x14ac:dyDescent="0.25">
      <c r="A100" s="140" t="s">
        <v>551</v>
      </c>
      <c r="B100" s="140" t="s">
        <v>895</v>
      </c>
      <c r="C100" s="34" t="s">
        <v>21</v>
      </c>
      <c r="D100" s="35" t="s">
        <v>25</v>
      </c>
      <c r="E100" s="35">
        <v>1</v>
      </c>
      <c r="F100" s="46" t="s">
        <v>813</v>
      </c>
      <c r="G100" s="75">
        <v>1</v>
      </c>
      <c r="H100" s="73" t="s">
        <v>14</v>
      </c>
      <c r="I100" s="48">
        <v>75</v>
      </c>
      <c r="J100" s="48">
        <v>75</v>
      </c>
      <c r="K100" s="82">
        <v>0.55000000000000004</v>
      </c>
      <c r="L100" s="82">
        <v>0.5</v>
      </c>
      <c r="M100" s="82">
        <v>0.89</v>
      </c>
      <c r="N100" s="36" t="s">
        <v>85</v>
      </c>
    </row>
    <row r="101" spans="1:14" ht="20.399999999999999" x14ac:dyDescent="0.25">
      <c r="A101" s="140" t="s">
        <v>551</v>
      </c>
      <c r="B101" s="140" t="s">
        <v>895</v>
      </c>
      <c r="C101" s="34" t="s">
        <v>21</v>
      </c>
      <c r="D101" s="35" t="s">
        <v>25</v>
      </c>
      <c r="E101" s="35">
        <v>1</v>
      </c>
      <c r="F101" s="46" t="s">
        <v>814</v>
      </c>
      <c r="G101" s="75">
        <v>1</v>
      </c>
      <c r="H101" s="73" t="s">
        <v>14</v>
      </c>
      <c r="I101" s="48">
        <v>465</v>
      </c>
      <c r="J101" s="48">
        <v>465</v>
      </c>
      <c r="K101" s="82">
        <v>1.33</v>
      </c>
      <c r="L101" s="82">
        <v>0.85</v>
      </c>
      <c r="M101" s="82">
        <v>0.9</v>
      </c>
      <c r="N101" s="36" t="s">
        <v>85</v>
      </c>
    </row>
    <row r="102" spans="1:14" ht="20.399999999999999" x14ac:dyDescent="0.25">
      <c r="A102" s="140" t="s">
        <v>551</v>
      </c>
      <c r="B102" s="140" t="s">
        <v>895</v>
      </c>
      <c r="C102" s="34" t="s">
        <v>20</v>
      </c>
      <c r="D102" s="35" t="s">
        <v>140</v>
      </c>
      <c r="E102" s="35">
        <v>1</v>
      </c>
      <c r="F102" s="46" t="s">
        <v>815</v>
      </c>
      <c r="G102" s="75">
        <v>52</v>
      </c>
      <c r="H102" s="73" t="s">
        <v>14</v>
      </c>
      <c r="I102" s="51">
        <v>160</v>
      </c>
      <c r="J102" s="51">
        <v>185</v>
      </c>
      <c r="K102" s="82">
        <v>0.85</v>
      </c>
      <c r="L102" s="82">
        <v>0.65</v>
      </c>
      <c r="M102" s="82">
        <v>0.6</v>
      </c>
      <c r="N102" s="36" t="s">
        <v>85</v>
      </c>
    </row>
    <row r="103" spans="1:14" ht="20.399999999999999" x14ac:dyDescent="0.25">
      <c r="A103" s="140" t="s">
        <v>551</v>
      </c>
      <c r="B103" s="140" t="s">
        <v>895</v>
      </c>
      <c r="C103" s="34" t="s">
        <v>20</v>
      </c>
      <c r="D103" s="35" t="s">
        <v>140</v>
      </c>
      <c r="E103" s="35">
        <v>1</v>
      </c>
      <c r="F103" s="46" t="s">
        <v>816</v>
      </c>
      <c r="G103" s="128">
        <v>53</v>
      </c>
      <c r="H103" s="129" t="s">
        <v>14</v>
      </c>
      <c r="I103" s="51">
        <v>160</v>
      </c>
      <c r="J103" s="51">
        <v>185</v>
      </c>
      <c r="K103" s="82">
        <v>0.85</v>
      </c>
      <c r="L103" s="82">
        <v>0.65</v>
      </c>
      <c r="M103" s="82">
        <v>0.6</v>
      </c>
      <c r="N103" s="36" t="s">
        <v>85</v>
      </c>
    </row>
    <row r="104" spans="1:14" ht="79.2" x14ac:dyDescent="0.25">
      <c r="A104" s="140" t="s">
        <v>819</v>
      </c>
      <c r="B104" s="140" t="s">
        <v>895</v>
      </c>
      <c r="C104" s="34" t="s">
        <v>20</v>
      </c>
      <c r="D104" s="35" t="s">
        <v>817</v>
      </c>
      <c r="E104" s="35">
        <v>1</v>
      </c>
      <c r="F104" s="46" t="s">
        <v>818</v>
      </c>
      <c r="G104" s="128">
        <v>7</v>
      </c>
      <c r="H104" s="129" t="s">
        <v>14</v>
      </c>
      <c r="I104" s="48">
        <v>700</v>
      </c>
      <c r="J104" s="48">
        <v>820</v>
      </c>
      <c r="K104" s="82">
        <v>1.24</v>
      </c>
      <c r="L104" s="82">
        <v>1.08</v>
      </c>
      <c r="M104" s="82">
        <v>1.23</v>
      </c>
      <c r="N104" s="36" t="s">
        <v>85</v>
      </c>
    </row>
    <row r="105" spans="1:14" ht="20.399999999999999" x14ac:dyDescent="0.25">
      <c r="A105" s="140" t="s">
        <v>494</v>
      </c>
      <c r="B105" s="140" t="s">
        <v>1043</v>
      </c>
      <c r="C105" s="34" t="s">
        <v>509</v>
      </c>
      <c r="D105" s="35" t="s">
        <v>619</v>
      </c>
      <c r="E105" s="35">
        <v>1</v>
      </c>
      <c r="F105" s="46" t="s">
        <v>1122</v>
      </c>
      <c r="G105" s="72">
        <v>1</v>
      </c>
      <c r="H105" s="73" t="s">
        <v>1123</v>
      </c>
      <c r="I105" s="48">
        <v>825</v>
      </c>
      <c r="J105" s="48">
        <v>865</v>
      </c>
      <c r="K105" s="82">
        <v>1.3</v>
      </c>
      <c r="L105" s="82">
        <v>1</v>
      </c>
      <c r="M105" s="82">
        <v>0.7</v>
      </c>
      <c r="N105" s="176"/>
    </row>
    <row r="106" spans="1:14" ht="20.399999999999999" x14ac:dyDescent="0.25">
      <c r="A106" s="140" t="s">
        <v>494</v>
      </c>
      <c r="B106" s="140" t="s">
        <v>1043</v>
      </c>
      <c r="C106" s="34" t="s">
        <v>20</v>
      </c>
      <c r="D106" s="35" t="s">
        <v>619</v>
      </c>
      <c r="E106" s="35">
        <v>1</v>
      </c>
      <c r="F106" s="46" t="s">
        <v>1124</v>
      </c>
      <c r="G106" s="147">
        <v>120</v>
      </c>
      <c r="H106" s="129" t="s">
        <v>14</v>
      </c>
      <c r="I106" s="48">
        <v>350</v>
      </c>
      <c r="J106" s="48">
        <v>430</v>
      </c>
      <c r="K106" s="82">
        <v>2.2999999999999998</v>
      </c>
      <c r="L106" s="82">
        <v>0.8</v>
      </c>
      <c r="M106" s="82">
        <v>0.5</v>
      </c>
      <c r="N106" s="176"/>
    </row>
    <row r="107" spans="1:14" ht="112.2" x14ac:dyDescent="0.25">
      <c r="A107" s="140" t="s">
        <v>494</v>
      </c>
      <c r="B107" s="140" t="s">
        <v>1043</v>
      </c>
      <c r="C107" s="34" t="s">
        <v>509</v>
      </c>
      <c r="D107" s="35" t="s">
        <v>619</v>
      </c>
      <c r="E107" s="35">
        <v>1</v>
      </c>
      <c r="F107" s="164" t="s">
        <v>1125</v>
      </c>
      <c r="G107" s="74">
        <v>2285</v>
      </c>
      <c r="H107" s="73" t="s">
        <v>14</v>
      </c>
      <c r="I107" s="48">
        <v>165</v>
      </c>
      <c r="J107" s="48">
        <v>180</v>
      </c>
      <c r="K107" s="82">
        <v>0.8</v>
      </c>
      <c r="L107" s="82">
        <v>0.6</v>
      </c>
      <c r="M107" s="82">
        <v>0.6</v>
      </c>
      <c r="N107" s="176"/>
    </row>
    <row r="108" spans="1:14" ht="26.4" x14ac:dyDescent="0.25">
      <c r="A108" s="140" t="s">
        <v>494</v>
      </c>
      <c r="B108" s="140" t="s">
        <v>1043</v>
      </c>
      <c r="C108" s="34" t="s">
        <v>21</v>
      </c>
      <c r="D108" s="35" t="s">
        <v>619</v>
      </c>
      <c r="E108" s="35">
        <v>1</v>
      </c>
      <c r="F108" s="46" t="s">
        <v>1126</v>
      </c>
      <c r="G108" s="147">
        <v>1</v>
      </c>
      <c r="H108" s="129" t="s">
        <v>14</v>
      </c>
      <c r="I108" s="48">
        <v>1390</v>
      </c>
      <c r="J108" s="48">
        <v>1390</v>
      </c>
      <c r="K108" s="82">
        <v>3.97</v>
      </c>
      <c r="L108" s="82">
        <v>1.35</v>
      </c>
      <c r="M108" s="82">
        <v>1.32</v>
      </c>
      <c r="N108" s="176"/>
    </row>
    <row r="109" spans="1:14" ht="20.399999999999999" x14ac:dyDescent="0.25">
      <c r="A109" s="140" t="s">
        <v>494</v>
      </c>
      <c r="B109" s="140" t="s">
        <v>1043</v>
      </c>
      <c r="C109" s="34" t="s">
        <v>21</v>
      </c>
      <c r="D109" s="35" t="s">
        <v>619</v>
      </c>
      <c r="E109" s="35">
        <v>1</v>
      </c>
      <c r="F109" s="46" t="s">
        <v>1127</v>
      </c>
      <c r="G109" s="147">
        <v>1</v>
      </c>
      <c r="H109" s="129" t="s">
        <v>14</v>
      </c>
      <c r="I109" s="48">
        <v>95</v>
      </c>
      <c r="J109" s="48">
        <v>95</v>
      </c>
      <c r="K109" s="82">
        <v>1.31</v>
      </c>
      <c r="L109" s="82">
        <v>0.5</v>
      </c>
      <c r="M109" s="82">
        <v>0.5</v>
      </c>
      <c r="N109" s="176"/>
    </row>
    <row r="110" spans="1:14" ht="20.399999999999999" x14ac:dyDescent="0.25">
      <c r="A110" s="140" t="s">
        <v>494</v>
      </c>
      <c r="B110" s="140" t="s">
        <v>1043</v>
      </c>
      <c r="C110" s="34" t="s">
        <v>21</v>
      </c>
      <c r="D110" s="35" t="s">
        <v>619</v>
      </c>
      <c r="E110" s="35">
        <v>1</v>
      </c>
      <c r="F110" s="46" t="s">
        <v>1128</v>
      </c>
      <c r="G110" s="147">
        <v>1</v>
      </c>
      <c r="H110" s="129" t="s">
        <v>14</v>
      </c>
      <c r="I110" s="48">
        <v>190</v>
      </c>
      <c r="J110" s="48">
        <v>190</v>
      </c>
      <c r="K110" s="82">
        <v>3.01</v>
      </c>
      <c r="L110" s="82">
        <v>0.5</v>
      </c>
      <c r="M110" s="82">
        <v>0.5</v>
      </c>
      <c r="N110" s="176"/>
    </row>
    <row r="111" spans="1:14" ht="20.399999999999999" x14ac:dyDescent="0.25">
      <c r="A111" s="140" t="s">
        <v>494</v>
      </c>
      <c r="B111" s="140" t="s">
        <v>1043</v>
      </c>
      <c r="C111" s="34" t="s">
        <v>21</v>
      </c>
      <c r="D111" s="35" t="s">
        <v>619</v>
      </c>
      <c r="E111" s="35">
        <v>1</v>
      </c>
      <c r="F111" s="46" t="s">
        <v>1129</v>
      </c>
      <c r="G111" s="147">
        <v>1</v>
      </c>
      <c r="H111" s="129" t="s">
        <v>14</v>
      </c>
      <c r="I111" s="48">
        <v>190</v>
      </c>
      <c r="J111" s="48">
        <v>190</v>
      </c>
      <c r="K111" s="82">
        <v>3.01</v>
      </c>
      <c r="L111" s="82">
        <v>0.5</v>
      </c>
      <c r="M111" s="82">
        <v>0.5</v>
      </c>
      <c r="N111" s="176"/>
    </row>
    <row r="112" spans="1:14" ht="20.399999999999999" x14ac:dyDescent="0.25">
      <c r="A112" s="140" t="s">
        <v>494</v>
      </c>
      <c r="B112" s="140" t="s">
        <v>1043</v>
      </c>
      <c r="C112" s="34" t="s">
        <v>21</v>
      </c>
      <c r="D112" s="35" t="s">
        <v>619</v>
      </c>
      <c r="E112" s="35">
        <v>1</v>
      </c>
      <c r="F112" s="46" t="s">
        <v>1130</v>
      </c>
      <c r="G112" s="147">
        <v>1</v>
      </c>
      <c r="H112" s="129" t="s">
        <v>14</v>
      </c>
      <c r="I112" s="48">
        <v>190</v>
      </c>
      <c r="J112" s="48">
        <v>190</v>
      </c>
      <c r="K112" s="82">
        <v>3.01</v>
      </c>
      <c r="L112" s="82">
        <v>0.5</v>
      </c>
      <c r="M112" s="82">
        <v>0.5</v>
      </c>
      <c r="N112" s="176"/>
    </row>
    <row r="113" spans="1:14" ht="20.399999999999999" x14ac:dyDescent="0.25">
      <c r="A113" s="140" t="s">
        <v>494</v>
      </c>
      <c r="B113" s="140" t="s">
        <v>1043</v>
      </c>
      <c r="C113" s="34" t="s">
        <v>21</v>
      </c>
      <c r="D113" s="35" t="s">
        <v>619</v>
      </c>
      <c r="E113" s="35">
        <v>1</v>
      </c>
      <c r="F113" s="46" t="s">
        <v>1131</v>
      </c>
      <c r="G113" s="147">
        <v>1</v>
      </c>
      <c r="H113" s="129" t="s">
        <v>14</v>
      </c>
      <c r="I113" s="48">
        <v>190</v>
      </c>
      <c r="J113" s="48">
        <v>190</v>
      </c>
      <c r="K113" s="82">
        <v>3.01</v>
      </c>
      <c r="L113" s="82">
        <v>0.5</v>
      </c>
      <c r="M113" s="82">
        <v>0.5</v>
      </c>
      <c r="N113" s="176"/>
    </row>
    <row r="114" spans="1:14" ht="20.399999999999999" x14ac:dyDescent="0.25">
      <c r="A114" s="140" t="s">
        <v>494</v>
      </c>
      <c r="B114" s="140" t="s">
        <v>1043</v>
      </c>
      <c r="C114" s="34" t="s">
        <v>21</v>
      </c>
      <c r="D114" s="35" t="s">
        <v>619</v>
      </c>
      <c r="E114" s="35">
        <v>1</v>
      </c>
      <c r="F114" s="46" t="s">
        <v>1132</v>
      </c>
      <c r="G114" s="147">
        <v>1</v>
      </c>
      <c r="H114" s="129" t="s">
        <v>14</v>
      </c>
      <c r="I114" s="48">
        <v>220</v>
      </c>
      <c r="J114" s="48">
        <v>220</v>
      </c>
      <c r="K114" s="82">
        <v>2.5299999999999998</v>
      </c>
      <c r="L114" s="82">
        <v>0.7</v>
      </c>
      <c r="M114" s="82">
        <v>0.8</v>
      </c>
      <c r="N114" s="176"/>
    </row>
    <row r="115" spans="1:14" ht="20.399999999999999" x14ac:dyDescent="0.25">
      <c r="A115" s="140" t="s">
        <v>494</v>
      </c>
      <c r="B115" s="140" t="s">
        <v>1043</v>
      </c>
      <c r="C115" s="34" t="s">
        <v>21</v>
      </c>
      <c r="D115" s="35" t="s">
        <v>619</v>
      </c>
      <c r="E115" s="35">
        <v>1</v>
      </c>
      <c r="F115" s="46" t="s">
        <v>1133</v>
      </c>
      <c r="G115" s="72">
        <v>1</v>
      </c>
      <c r="H115" s="73" t="s">
        <v>14</v>
      </c>
      <c r="I115" s="48">
        <v>440</v>
      </c>
      <c r="J115" s="48">
        <v>440</v>
      </c>
      <c r="K115" s="82">
        <v>3.36</v>
      </c>
      <c r="L115" s="82">
        <v>0.79</v>
      </c>
      <c r="M115" s="82">
        <v>1.7</v>
      </c>
      <c r="N115" s="176"/>
    </row>
    <row r="116" spans="1:14" ht="20.399999999999999" x14ac:dyDescent="0.25">
      <c r="A116" s="140" t="s">
        <v>494</v>
      </c>
      <c r="B116" s="140" t="s">
        <v>1043</v>
      </c>
      <c r="C116" s="34" t="s">
        <v>21</v>
      </c>
      <c r="D116" s="35" t="s">
        <v>619</v>
      </c>
      <c r="E116" s="35">
        <v>1</v>
      </c>
      <c r="F116" s="46" t="s">
        <v>383</v>
      </c>
      <c r="G116" s="147">
        <v>1</v>
      </c>
      <c r="H116" s="129" t="s">
        <v>14</v>
      </c>
      <c r="I116" s="48">
        <v>55</v>
      </c>
      <c r="J116" s="48">
        <v>55</v>
      </c>
      <c r="K116" s="82">
        <v>0.89</v>
      </c>
      <c r="L116" s="82">
        <v>0.5</v>
      </c>
      <c r="M116" s="82">
        <v>0.55000000000000004</v>
      </c>
      <c r="N116" s="176"/>
    </row>
    <row r="117" spans="1:14" ht="20.399999999999999" x14ac:dyDescent="0.25">
      <c r="A117" s="140" t="s">
        <v>494</v>
      </c>
      <c r="B117" s="140" t="s">
        <v>1043</v>
      </c>
      <c r="C117" s="34" t="s">
        <v>21</v>
      </c>
      <c r="D117" s="35" t="s">
        <v>619</v>
      </c>
      <c r="E117" s="35">
        <v>1</v>
      </c>
      <c r="F117" s="46" t="s">
        <v>814</v>
      </c>
      <c r="G117" s="147">
        <v>1</v>
      </c>
      <c r="H117" s="129" t="s">
        <v>14</v>
      </c>
      <c r="I117" s="48">
        <v>500</v>
      </c>
      <c r="J117" s="48">
        <v>500</v>
      </c>
      <c r="K117" s="82">
        <v>1.33</v>
      </c>
      <c r="L117" s="82">
        <v>0.86</v>
      </c>
      <c r="M117" s="82">
        <v>0.96</v>
      </c>
      <c r="N117" s="176"/>
    </row>
    <row r="118" spans="1:14" ht="20.399999999999999" x14ac:dyDescent="0.25">
      <c r="A118" s="140" t="s">
        <v>1173</v>
      </c>
      <c r="B118" s="195" t="s">
        <v>1174</v>
      </c>
      <c r="C118" s="34" t="s">
        <v>1288</v>
      </c>
      <c r="D118" s="35" t="s">
        <v>1289</v>
      </c>
      <c r="E118" s="35">
        <v>1</v>
      </c>
      <c r="F118" s="46" t="s">
        <v>1290</v>
      </c>
      <c r="G118" s="184">
        <v>1</v>
      </c>
      <c r="H118" s="182" t="s">
        <v>1123</v>
      </c>
      <c r="I118" s="51">
        <v>560</v>
      </c>
      <c r="J118" s="51">
        <v>570</v>
      </c>
      <c r="K118" s="82">
        <v>11.1</v>
      </c>
      <c r="L118" s="82">
        <v>0.4</v>
      </c>
      <c r="M118" s="82">
        <v>0.45</v>
      </c>
      <c r="N118" s="176"/>
    </row>
    <row r="119" spans="1:14" ht="20.399999999999999" x14ac:dyDescent="0.25">
      <c r="A119" s="140" t="s">
        <v>1173</v>
      </c>
      <c r="B119" s="195" t="s">
        <v>1174</v>
      </c>
      <c r="C119" s="34" t="s">
        <v>1288</v>
      </c>
      <c r="D119" s="35" t="s">
        <v>1291</v>
      </c>
      <c r="E119" s="35">
        <v>1</v>
      </c>
      <c r="F119" s="46" t="s">
        <v>1292</v>
      </c>
      <c r="G119" s="191">
        <v>1</v>
      </c>
      <c r="H119" s="187" t="s">
        <v>1123</v>
      </c>
      <c r="I119" s="51">
        <v>490</v>
      </c>
      <c r="J119" s="51">
        <v>500</v>
      </c>
      <c r="K119" s="82">
        <v>9</v>
      </c>
      <c r="L119" s="82">
        <v>0.8</v>
      </c>
      <c r="M119" s="82">
        <v>0.6</v>
      </c>
      <c r="N119" s="176"/>
    </row>
    <row r="120" spans="1:14" ht="20.399999999999999" x14ac:dyDescent="0.25">
      <c r="A120" s="140" t="s">
        <v>1173</v>
      </c>
      <c r="B120" s="195" t="s">
        <v>1174</v>
      </c>
      <c r="C120" s="34" t="s">
        <v>1288</v>
      </c>
      <c r="D120" s="35" t="s">
        <v>1293</v>
      </c>
      <c r="E120" s="35">
        <v>1</v>
      </c>
      <c r="F120" s="46" t="s">
        <v>1294</v>
      </c>
      <c r="G120" s="184">
        <v>1</v>
      </c>
      <c r="H120" s="182" t="s">
        <v>1123</v>
      </c>
      <c r="I120" s="51">
        <v>220</v>
      </c>
      <c r="J120" s="51">
        <v>230</v>
      </c>
      <c r="K120" s="82">
        <v>4</v>
      </c>
      <c r="L120" s="82">
        <v>0.4</v>
      </c>
      <c r="M120" s="82">
        <v>0.45</v>
      </c>
      <c r="N120" s="176"/>
    </row>
    <row r="121" spans="1:14" ht="20.399999999999999" x14ac:dyDescent="0.25">
      <c r="A121" s="140" t="s">
        <v>1173</v>
      </c>
      <c r="B121" s="195" t="s">
        <v>1174</v>
      </c>
      <c r="C121" s="34" t="s">
        <v>1288</v>
      </c>
      <c r="D121" s="35" t="s">
        <v>1295</v>
      </c>
      <c r="E121" s="35">
        <v>1</v>
      </c>
      <c r="F121" s="46" t="s">
        <v>1296</v>
      </c>
      <c r="G121" s="191">
        <v>1</v>
      </c>
      <c r="H121" s="187" t="s">
        <v>1123</v>
      </c>
      <c r="I121" s="51">
        <v>320</v>
      </c>
      <c r="J121" s="51">
        <v>330</v>
      </c>
      <c r="K121" s="82">
        <v>5.9</v>
      </c>
      <c r="L121" s="82">
        <v>0.4</v>
      </c>
      <c r="M121" s="82">
        <v>0.48</v>
      </c>
      <c r="N121" s="176"/>
    </row>
    <row r="122" spans="1:14" ht="20.399999999999999" x14ac:dyDescent="0.25">
      <c r="A122" s="140" t="s">
        <v>1173</v>
      </c>
      <c r="B122" s="195" t="s">
        <v>1174</v>
      </c>
      <c r="C122" s="34" t="s">
        <v>1288</v>
      </c>
      <c r="D122" s="35" t="s">
        <v>1297</v>
      </c>
      <c r="E122" s="35">
        <v>1</v>
      </c>
      <c r="F122" s="46" t="s">
        <v>1298</v>
      </c>
      <c r="G122" s="184">
        <v>1</v>
      </c>
      <c r="H122" s="182" t="s">
        <v>1123</v>
      </c>
      <c r="I122" s="51">
        <v>320</v>
      </c>
      <c r="J122" s="51">
        <v>330</v>
      </c>
      <c r="K122" s="82">
        <v>5.75</v>
      </c>
      <c r="L122" s="82">
        <v>0.4</v>
      </c>
      <c r="M122" s="82">
        <v>0.45</v>
      </c>
      <c r="N122" s="176"/>
    </row>
    <row r="123" spans="1:14" ht="20.399999999999999" x14ac:dyDescent="0.25">
      <c r="A123" s="140" t="s">
        <v>1173</v>
      </c>
      <c r="B123" s="195" t="s">
        <v>1174</v>
      </c>
      <c r="C123" s="34" t="s">
        <v>1288</v>
      </c>
      <c r="D123" s="35" t="s">
        <v>1299</v>
      </c>
      <c r="E123" s="35">
        <v>1</v>
      </c>
      <c r="F123" s="46" t="s">
        <v>1300</v>
      </c>
      <c r="G123" s="191">
        <v>1</v>
      </c>
      <c r="H123" s="187" t="s">
        <v>1123</v>
      </c>
      <c r="I123" s="51">
        <v>360</v>
      </c>
      <c r="J123" s="51">
        <v>370</v>
      </c>
      <c r="K123" s="82">
        <v>5.3</v>
      </c>
      <c r="L123" s="82">
        <v>0.5</v>
      </c>
      <c r="M123" s="82">
        <v>7.8</v>
      </c>
      <c r="N123" s="176"/>
    </row>
    <row r="124" spans="1:14" ht="20.399999999999999" x14ac:dyDescent="0.25">
      <c r="A124" s="140" t="s">
        <v>1173</v>
      </c>
      <c r="B124" s="195" t="s">
        <v>1174</v>
      </c>
      <c r="C124" s="34" t="s">
        <v>1288</v>
      </c>
      <c r="D124" s="35" t="s">
        <v>1301</v>
      </c>
      <c r="E124" s="35">
        <v>1</v>
      </c>
      <c r="F124" s="46" t="s">
        <v>1302</v>
      </c>
      <c r="G124" s="184">
        <v>1</v>
      </c>
      <c r="H124" s="182" t="s">
        <v>1123</v>
      </c>
      <c r="I124" s="51">
        <v>250</v>
      </c>
      <c r="J124" s="51">
        <v>255</v>
      </c>
      <c r="K124" s="82">
        <v>4.7</v>
      </c>
      <c r="L124" s="82">
        <v>0.4</v>
      </c>
      <c r="M124" s="82">
        <v>0.47</v>
      </c>
      <c r="N124" s="176"/>
    </row>
    <row r="125" spans="1:14" ht="20.399999999999999" x14ac:dyDescent="0.25">
      <c r="A125" s="140" t="s">
        <v>1173</v>
      </c>
      <c r="B125" s="195" t="s">
        <v>1174</v>
      </c>
      <c r="C125" s="34" t="s">
        <v>1288</v>
      </c>
      <c r="D125" s="35" t="s">
        <v>1303</v>
      </c>
      <c r="E125" s="35">
        <v>1</v>
      </c>
      <c r="F125" s="46" t="s">
        <v>1304</v>
      </c>
      <c r="G125" s="191">
        <v>1</v>
      </c>
      <c r="H125" s="187" t="s">
        <v>1123</v>
      </c>
      <c r="I125" s="51">
        <v>330</v>
      </c>
      <c r="J125" s="51">
        <v>335</v>
      </c>
      <c r="K125" s="82">
        <v>4.8</v>
      </c>
      <c r="L125" s="82">
        <v>0.48</v>
      </c>
      <c r="M125" s="82">
        <v>0.5</v>
      </c>
      <c r="N125" s="176"/>
    </row>
    <row r="126" spans="1:14" ht="20.399999999999999" x14ac:dyDescent="0.25">
      <c r="A126" s="140" t="s">
        <v>1173</v>
      </c>
      <c r="B126" s="195" t="s">
        <v>1174</v>
      </c>
      <c r="C126" s="34" t="s">
        <v>1288</v>
      </c>
      <c r="D126" s="35" t="s">
        <v>1305</v>
      </c>
      <c r="E126" s="35">
        <v>1</v>
      </c>
      <c r="F126" s="46" t="s">
        <v>1306</v>
      </c>
      <c r="G126" s="184">
        <v>1</v>
      </c>
      <c r="H126" s="182" t="s">
        <v>1123</v>
      </c>
      <c r="I126" s="51">
        <v>650</v>
      </c>
      <c r="J126" s="51">
        <v>660</v>
      </c>
      <c r="K126" s="82">
        <v>5.2</v>
      </c>
      <c r="L126" s="82">
        <v>1.37</v>
      </c>
      <c r="M126" s="82">
        <v>1.65</v>
      </c>
      <c r="N126" s="176"/>
    </row>
    <row r="127" spans="1:14" ht="20.399999999999999" x14ac:dyDescent="0.25">
      <c r="A127" s="140" t="s">
        <v>1346</v>
      </c>
      <c r="B127" s="140" t="s">
        <v>1347</v>
      </c>
      <c r="C127" s="207" t="s">
        <v>509</v>
      </c>
      <c r="D127" s="148" t="s">
        <v>619</v>
      </c>
      <c r="E127" s="148">
        <v>1</v>
      </c>
      <c r="F127" s="208" t="s">
        <v>1122</v>
      </c>
      <c r="G127" s="214">
        <v>1</v>
      </c>
      <c r="H127" s="209" t="s">
        <v>1123</v>
      </c>
      <c r="I127" s="59"/>
      <c r="J127" s="59"/>
      <c r="K127" s="86"/>
      <c r="L127" s="86"/>
      <c r="M127" s="86"/>
      <c r="N127" s="98"/>
    </row>
    <row r="128" spans="1:14" ht="20.399999999999999" x14ac:dyDescent="0.25">
      <c r="A128" s="140" t="s">
        <v>1346</v>
      </c>
      <c r="B128" s="140" t="s">
        <v>1347</v>
      </c>
      <c r="C128" s="207" t="s">
        <v>20</v>
      </c>
      <c r="D128" s="148" t="s">
        <v>619</v>
      </c>
      <c r="E128" s="148">
        <v>1</v>
      </c>
      <c r="F128" s="208" t="s">
        <v>1124</v>
      </c>
      <c r="G128" s="215">
        <v>120</v>
      </c>
      <c r="H128" s="216" t="s">
        <v>14</v>
      </c>
      <c r="I128" s="59"/>
      <c r="J128" s="59"/>
      <c r="K128" s="86"/>
      <c r="L128" s="86"/>
      <c r="M128" s="86"/>
      <c r="N128" s="98"/>
    </row>
    <row r="129" spans="1:14" ht="112.2" x14ac:dyDescent="0.25">
      <c r="A129" s="140" t="s">
        <v>1346</v>
      </c>
      <c r="B129" s="140" t="s">
        <v>1347</v>
      </c>
      <c r="C129" s="207" t="s">
        <v>509</v>
      </c>
      <c r="D129" s="148" t="s">
        <v>619</v>
      </c>
      <c r="E129" s="148">
        <v>1</v>
      </c>
      <c r="F129" s="219" t="s">
        <v>1125</v>
      </c>
      <c r="G129" s="217">
        <v>2285</v>
      </c>
      <c r="H129" s="209" t="s">
        <v>14</v>
      </c>
      <c r="I129" s="59"/>
      <c r="J129" s="59"/>
      <c r="K129" s="86"/>
      <c r="L129" s="86"/>
      <c r="M129" s="86"/>
      <c r="N129" s="98"/>
    </row>
    <row r="130" spans="1:14" ht="26.4" x14ac:dyDescent="0.25">
      <c r="A130" s="140" t="s">
        <v>1346</v>
      </c>
      <c r="B130" s="140" t="s">
        <v>1347</v>
      </c>
      <c r="C130" s="207" t="s">
        <v>21</v>
      </c>
      <c r="D130" s="148" t="s">
        <v>619</v>
      </c>
      <c r="E130" s="148">
        <v>1</v>
      </c>
      <c r="F130" s="208" t="s">
        <v>1374</v>
      </c>
      <c r="G130" s="218">
        <v>1</v>
      </c>
      <c r="H130" s="216" t="s">
        <v>14</v>
      </c>
      <c r="I130" s="59"/>
      <c r="J130" s="59"/>
      <c r="K130" s="86"/>
      <c r="L130" s="86"/>
      <c r="M130" s="86"/>
      <c r="N130" s="98"/>
    </row>
    <row r="131" spans="1:14" ht="20.399999999999999" x14ac:dyDescent="0.25">
      <c r="A131" s="140" t="s">
        <v>1346</v>
      </c>
      <c r="B131" s="140" t="s">
        <v>1347</v>
      </c>
      <c r="C131" s="207" t="s">
        <v>21</v>
      </c>
      <c r="D131" s="148" t="s">
        <v>619</v>
      </c>
      <c r="E131" s="148">
        <v>1</v>
      </c>
      <c r="F131" s="208" t="s">
        <v>1127</v>
      </c>
      <c r="G131" s="218">
        <v>1</v>
      </c>
      <c r="H131" s="216" t="s">
        <v>14</v>
      </c>
      <c r="I131" s="59"/>
      <c r="J131" s="59"/>
      <c r="K131" s="86"/>
      <c r="L131" s="86"/>
      <c r="M131" s="86"/>
      <c r="N131" s="98"/>
    </row>
    <row r="132" spans="1:14" ht="20.399999999999999" x14ac:dyDescent="0.25">
      <c r="A132" s="140" t="s">
        <v>1346</v>
      </c>
      <c r="B132" s="140" t="s">
        <v>1347</v>
      </c>
      <c r="C132" s="207" t="s">
        <v>21</v>
      </c>
      <c r="D132" s="148" t="s">
        <v>619</v>
      </c>
      <c r="E132" s="148">
        <v>1</v>
      </c>
      <c r="F132" s="208" t="s">
        <v>1128</v>
      </c>
      <c r="G132" s="218">
        <v>1</v>
      </c>
      <c r="H132" s="216" t="s">
        <v>14</v>
      </c>
      <c r="I132" s="59"/>
      <c r="J132" s="59"/>
      <c r="K132" s="86"/>
      <c r="L132" s="86"/>
      <c r="M132" s="86"/>
      <c r="N132" s="98"/>
    </row>
    <row r="133" spans="1:14" ht="20.399999999999999" x14ac:dyDescent="0.25">
      <c r="A133" s="140" t="s">
        <v>1346</v>
      </c>
      <c r="B133" s="140" t="s">
        <v>1347</v>
      </c>
      <c r="C133" s="207" t="s">
        <v>21</v>
      </c>
      <c r="D133" s="148" t="s">
        <v>619</v>
      </c>
      <c r="E133" s="148">
        <v>1</v>
      </c>
      <c r="F133" s="208" t="s">
        <v>1129</v>
      </c>
      <c r="G133" s="218">
        <v>1</v>
      </c>
      <c r="H133" s="216" t="s">
        <v>14</v>
      </c>
      <c r="I133" s="59"/>
      <c r="J133" s="59"/>
      <c r="K133" s="86"/>
      <c r="L133" s="86"/>
      <c r="M133" s="86"/>
      <c r="N133" s="98"/>
    </row>
    <row r="134" spans="1:14" ht="20.399999999999999" x14ac:dyDescent="0.25">
      <c r="A134" s="140" t="s">
        <v>1346</v>
      </c>
      <c r="B134" s="140" t="s">
        <v>1347</v>
      </c>
      <c r="C134" s="207" t="s">
        <v>21</v>
      </c>
      <c r="D134" s="148" t="s">
        <v>619</v>
      </c>
      <c r="E134" s="148">
        <v>1</v>
      </c>
      <c r="F134" s="208" t="s">
        <v>1130</v>
      </c>
      <c r="G134" s="218">
        <v>1</v>
      </c>
      <c r="H134" s="216" t="s">
        <v>14</v>
      </c>
      <c r="I134" s="59"/>
      <c r="J134" s="59"/>
      <c r="K134" s="86"/>
      <c r="L134" s="86"/>
      <c r="M134" s="86"/>
      <c r="N134" s="98"/>
    </row>
    <row r="135" spans="1:14" ht="20.399999999999999" x14ac:dyDescent="0.25">
      <c r="A135" s="140" t="s">
        <v>1346</v>
      </c>
      <c r="B135" s="140" t="s">
        <v>1347</v>
      </c>
      <c r="C135" s="207" t="s">
        <v>21</v>
      </c>
      <c r="D135" s="148" t="s">
        <v>619</v>
      </c>
      <c r="E135" s="148">
        <v>1</v>
      </c>
      <c r="F135" s="208" t="s">
        <v>1131</v>
      </c>
      <c r="G135" s="218">
        <v>1</v>
      </c>
      <c r="H135" s="216" t="s">
        <v>14</v>
      </c>
      <c r="I135" s="59"/>
      <c r="J135" s="59"/>
      <c r="K135" s="86"/>
      <c r="L135" s="86"/>
      <c r="M135" s="86"/>
      <c r="N135" s="98"/>
    </row>
    <row r="136" spans="1:14" ht="20.399999999999999" x14ac:dyDescent="0.25">
      <c r="A136" s="140" t="s">
        <v>1346</v>
      </c>
      <c r="B136" s="140" t="s">
        <v>1347</v>
      </c>
      <c r="C136" s="207" t="s">
        <v>21</v>
      </c>
      <c r="D136" s="148" t="s">
        <v>619</v>
      </c>
      <c r="E136" s="148">
        <v>1</v>
      </c>
      <c r="F136" s="208" t="s">
        <v>1375</v>
      </c>
      <c r="G136" s="218">
        <v>1</v>
      </c>
      <c r="H136" s="216" t="s">
        <v>14</v>
      </c>
      <c r="I136" s="59"/>
      <c r="J136" s="59"/>
      <c r="K136" s="86"/>
      <c r="L136" s="86"/>
      <c r="M136" s="86"/>
      <c r="N136" s="98"/>
    </row>
    <row r="137" spans="1:14" ht="20.399999999999999" x14ac:dyDescent="0.25">
      <c r="A137" s="140" t="s">
        <v>1346</v>
      </c>
      <c r="B137" s="140" t="s">
        <v>1347</v>
      </c>
      <c r="C137" s="207" t="s">
        <v>21</v>
      </c>
      <c r="D137" s="148" t="s">
        <v>619</v>
      </c>
      <c r="E137" s="148">
        <v>1</v>
      </c>
      <c r="F137" s="208" t="s">
        <v>1133</v>
      </c>
      <c r="G137" s="214">
        <v>1</v>
      </c>
      <c r="H137" s="209" t="s">
        <v>14</v>
      </c>
      <c r="I137" s="59"/>
      <c r="J137" s="59"/>
      <c r="K137" s="86"/>
      <c r="L137" s="86"/>
      <c r="M137" s="86"/>
      <c r="N137" s="98"/>
    </row>
    <row r="138" spans="1:14" ht="20.399999999999999" x14ac:dyDescent="0.25">
      <c r="A138" s="140" t="s">
        <v>1346</v>
      </c>
      <c r="B138" s="140" t="s">
        <v>1347</v>
      </c>
      <c r="C138" s="207" t="s">
        <v>21</v>
      </c>
      <c r="D138" s="148" t="s">
        <v>619</v>
      </c>
      <c r="E138" s="148">
        <v>1</v>
      </c>
      <c r="F138" s="208" t="s">
        <v>383</v>
      </c>
      <c r="G138" s="218">
        <v>1</v>
      </c>
      <c r="H138" s="216" t="s">
        <v>14</v>
      </c>
      <c r="I138" s="59"/>
      <c r="J138" s="59"/>
      <c r="K138" s="86"/>
      <c r="L138" s="86"/>
      <c r="M138" s="86"/>
      <c r="N138" s="98"/>
    </row>
    <row r="139" spans="1:14" ht="20.399999999999999" x14ac:dyDescent="0.25">
      <c r="A139" s="140" t="s">
        <v>1346</v>
      </c>
      <c r="B139" s="140" t="s">
        <v>1347</v>
      </c>
      <c r="C139" s="207" t="s">
        <v>21</v>
      </c>
      <c r="D139" s="148" t="s">
        <v>619</v>
      </c>
      <c r="E139" s="148">
        <v>1</v>
      </c>
      <c r="F139" s="208" t="s">
        <v>814</v>
      </c>
      <c r="G139" s="218">
        <v>1</v>
      </c>
      <c r="H139" s="216" t="s">
        <v>14</v>
      </c>
      <c r="I139" s="59"/>
      <c r="J139" s="59"/>
      <c r="K139" s="86"/>
      <c r="L139" s="86"/>
      <c r="M139" s="86"/>
      <c r="N139" s="9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F891-FB6D-4E3B-A528-97BDC59CC5DA}">
  <dimension ref="A1:P23"/>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ht="20.399999999999999" x14ac:dyDescent="0.25">
      <c r="A2" s="140" t="s">
        <v>355</v>
      </c>
      <c r="B2" s="140" t="s">
        <v>183</v>
      </c>
      <c r="C2" s="34" t="s">
        <v>21</v>
      </c>
      <c r="D2" s="35" t="s">
        <v>356</v>
      </c>
      <c r="E2" s="35">
        <v>1</v>
      </c>
      <c r="F2" s="46" t="s">
        <v>357</v>
      </c>
      <c r="G2" s="72">
        <v>1</v>
      </c>
      <c r="H2" s="73" t="s">
        <v>14</v>
      </c>
      <c r="I2" s="47">
        <v>850</v>
      </c>
      <c r="J2" s="47">
        <v>850</v>
      </c>
      <c r="K2" s="35">
        <v>2.91</v>
      </c>
      <c r="L2" s="35">
        <v>1.67</v>
      </c>
      <c r="M2" s="35">
        <v>1.06</v>
      </c>
      <c r="N2" s="36" t="s">
        <v>85</v>
      </c>
      <c r="O2" s="7"/>
      <c r="P2" s="7"/>
    </row>
    <row r="3" spans="1:16" ht="20.399999999999999" x14ac:dyDescent="0.25">
      <c r="A3" s="140" t="s">
        <v>355</v>
      </c>
      <c r="B3" s="140" t="s">
        <v>183</v>
      </c>
      <c r="C3" s="34" t="s">
        <v>21</v>
      </c>
      <c r="D3" s="35" t="s">
        <v>356</v>
      </c>
      <c r="E3" s="35">
        <v>1</v>
      </c>
      <c r="F3" s="46" t="s">
        <v>358</v>
      </c>
      <c r="G3" s="72">
        <v>1</v>
      </c>
      <c r="H3" s="73" t="s">
        <v>14</v>
      </c>
      <c r="I3" s="47">
        <v>310</v>
      </c>
      <c r="J3" s="47">
        <v>310</v>
      </c>
      <c r="K3" s="35">
        <v>2.38</v>
      </c>
      <c r="L3" s="82">
        <v>0.7</v>
      </c>
      <c r="M3" s="82">
        <v>0.8</v>
      </c>
      <c r="N3" s="36" t="s">
        <v>85</v>
      </c>
      <c r="O3" s="7"/>
      <c r="P3" s="7"/>
    </row>
    <row r="4" spans="1:16" ht="20.399999999999999" x14ac:dyDescent="0.25">
      <c r="A4" s="140" t="s">
        <v>355</v>
      </c>
      <c r="B4" s="140" t="s">
        <v>183</v>
      </c>
      <c r="C4" s="34" t="s">
        <v>21</v>
      </c>
      <c r="D4" s="35" t="s">
        <v>356</v>
      </c>
      <c r="E4" s="35">
        <v>1</v>
      </c>
      <c r="F4" s="46" t="s">
        <v>359</v>
      </c>
      <c r="G4" s="72">
        <v>1</v>
      </c>
      <c r="H4" s="73" t="s">
        <v>14</v>
      </c>
      <c r="I4" s="47">
        <v>305</v>
      </c>
      <c r="J4" s="47">
        <v>305</v>
      </c>
      <c r="K4" s="82">
        <v>2.2000000000000002</v>
      </c>
      <c r="L4" s="82">
        <v>0.7</v>
      </c>
      <c r="M4" s="35">
        <v>0.72</v>
      </c>
      <c r="N4" s="36" t="s">
        <v>85</v>
      </c>
      <c r="O4" s="7"/>
      <c r="P4" s="7"/>
    </row>
    <row r="5" spans="1:16" ht="26.4" x14ac:dyDescent="0.25">
      <c r="A5" s="140" t="s">
        <v>355</v>
      </c>
      <c r="B5" s="140" t="s">
        <v>183</v>
      </c>
      <c r="C5" s="34" t="s">
        <v>21</v>
      </c>
      <c r="D5" s="35" t="s">
        <v>356</v>
      </c>
      <c r="E5" s="35">
        <v>1</v>
      </c>
      <c r="F5" s="46" t="s">
        <v>360</v>
      </c>
      <c r="G5" s="72">
        <v>1</v>
      </c>
      <c r="H5" s="73" t="s">
        <v>14</v>
      </c>
      <c r="I5" s="47">
        <v>1145</v>
      </c>
      <c r="J5" s="47">
        <v>1145</v>
      </c>
      <c r="K5" s="35">
        <v>1.82</v>
      </c>
      <c r="L5" s="82">
        <v>1.2</v>
      </c>
      <c r="M5" s="35">
        <v>1.75</v>
      </c>
      <c r="N5" s="36" t="s">
        <v>85</v>
      </c>
      <c r="O5" s="7"/>
      <c r="P5" s="7"/>
    </row>
    <row r="6" spans="1:16" ht="20.399999999999999" x14ac:dyDescent="0.25">
      <c r="A6" s="140" t="s">
        <v>355</v>
      </c>
      <c r="B6" s="140" t="s">
        <v>183</v>
      </c>
      <c r="C6" s="34" t="s">
        <v>20</v>
      </c>
      <c r="D6" s="35" t="s">
        <v>356</v>
      </c>
      <c r="E6" s="35">
        <v>1</v>
      </c>
      <c r="F6" s="46" t="s">
        <v>361</v>
      </c>
      <c r="G6" s="72">
        <v>20</v>
      </c>
      <c r="H6" s="73" t="s">
        <v>362</v>
      </c>
      <c r="I6" s="47">
        <v>555</v>
      </c>
      <c r="J6" s="47">
        <v>745</v>
      </c>
      <c r="K6" s="35">
        <v>2.09</v>
      </c>
      <c r="L6" s="35">
        <v>0.69</v>
      </c>
      <c r="M6" s="35">
        <v>1.19</v>
      </c>
      <c r="N6" s="36" t="s">
        <v>85</v>
      </c>
      <c r="O6" s="7"/>
      <c r="P6" s="7"/>
    </row>
    <row r="7" spans="1:16" ht="39.6" x14ac:dyDescent="0.25">
      <c r="A7" s="140" t="s">
        <v>355</v>
      </c>
      <c r="B7" s="140" t="s">
        <v>183</v>
      </c>
      <c r="C7" s="34" t="s">
        <v>20</v>
      </c>
      <c r="D7" s="35" t="s">
        <v>356</v>
      </c>
      <c r="E7" s="35">
        <v>1</v>
      </c>
      <c r="F7" s="46" t="s">
        <v>365</v>
      </c>
      <c r="G7" s="72">
        <v>134</v>
      </c>
      <c r="H7" s="73" t="s">
        <v>14</v>
      </c>
      <c r="I7" s="120"/>
      <c r="J7" s="120"/>
      <c r="K7" s="121"/>
      <c r="L7" s="121"/>
      <c r="M7" s="121"/>
      <c r="N7" s="36" t="s">
        <v>85</v>
      </c>
      <c r="O7" s="7"/>
      <c r="P7" s="7"/>
    </row>
    <row r="8" spans="1:16" ht="20.399999999999999" x14ac:dyDescent="0.25">
      <c r="A8" s="140" t="s">
        <v>355</v>
      </c>
      <c r="B8" s="140" t="s">
        <v>183</v>
      </c>
      <c r="C8" s="34" t="s">
        <v>21</v>
      </c>
      <c r="D8" s="35" t="s">
        <v>356</v>
      </c>
      <c r="E8" s="35">
        <v>1</v>
      </c>
      <c r="F8" s="46" t="s">
        <v>363</v>
      </c>
      <c r="G8" s="72">
        <v>1</v>
      </c>
      <c r="H8" s="73" t="s">
        <v>14</v>
      </c>
      <c r="I8" s="47">
        <v>155</v>
      </c>
      <c r="J8" s="47">
        <v>155</v>
      </c>
      <c r="K8" s="35">
        <v>2.0299999999999998</v>
      </c>
      <c r="L8" s="35">
        <v>0.57999999999999996</v>
      </c>
      <c r="M8" s="82">
        <v>0.4</v>
      </c>
      <c r="N8" s="36" t="s">
        <v>85</v>
      </c>
      <c r="O8" s="7"/>
      <c r="P8" s="7"/>
    </row>
    <row r="9" spans="1:16" ht="145.19999999999999" x14ac:dyDescent="0.25">
      <c r="A9" s="140" t="s">
        <v>355</v>
      </c>
      <c r="B9" s="140" t="s">
        <v>183</v>
      </c>
      <c r="C9" s="34" t="s">
        <v>20</v>
      </c>
      <c r="D9" s="35" t="s">
        <v>356</v>
      </c>
      <c r="E9" s="35">
        <v>1</v>
      </c>
      <c r="F9" s="46" t="s">
        <v>364</v>
      </c>
      <c r="G9" s="72">
        <v>0</v>
      </c>
      <c r="H9" s="73" t="s">
        <v>14</v>
      </c>
      <c r="I9" s="120"/>
      <c r="J9" s="120"/>
      <c r="K9" s="121"/>
      <c r="L9" s="121"/>
      <c r="M9" s="122"/>
      <c r="N9" s="36" t="s">
        <v>85</v>
      </c>
      <c r="O9" s="7"/>
      <c r="P9" s="7"/>
    </row>
    <row r="10" spans="1:16" x14ac:dyDescent="0.25">
      <c r="F10" s="1"/>
      <c r="G10" s="1"/>
      <c r="H10" s="1"/>
      <c r="I10" s="18"/>
      <c r="J10" s="18"/>
      <c r="K10" s="18"/>
      <c r="L10" s="18"/>
    </row>
    <row r="11" spans="1:16" x14ac:dyDescent="0.25">
      <c r="F11" s="1"/>
      <c r="G11" s="1"/>
      <c r="H11" s="1"/>
      <c r="I11" s="18"/>
      <c r="J11" s="18"/>
      <c r="K11" s="18"/>
      <c r="L11" s="18"/>
    </row>
    <row r="12" spans="1:16" x14ac:dyDescent="0.25">
      <c r="F12" s="1"/>
      <c r="G12" s="1"/>
      <c r="H12" s="1"/>
      <c r="I12" s="18"/>
      <c r="J12" s="18"/>
      <c r="K12" s="18"/>
      <c r="L12" s="18"/>
    </row>
    <row r="13" spans="1:16" x14ac:dyDescent="0.25">
      <c r="F13" s="1"/>
      <c r="G13" s="1"/>
      <c r="H13" s="1"/>
      <c r="I13" s="18"/>
      <c r="J13" s="18"/>
      <c r="K13" s="18"/>
      <c r="L13" s="18"/>
    </row>
    <row r="14" spans="1:16" x14ac:dyDescent="0.25">
      <c r="F14" s="1"/>
      <c r="G14" s="1"/>
      <c r="H14" s="1"/>
      <c r="I14" s="18"/>
      <c r="J14" s="18"/>
      <c r="K14" s="18"/>
      <c r="L14" s="18"/>
    </row>
    <row r="15" spans="1:16" x14ac:dyDescent="0.25">
      <c r="F15" s="1"/>
      <c r="G15" s="1"/>
      <c r="H15" s="1"/>
      <c r="I15" s="18"/>
      <c r="J15" s="18"/>
      <c r="K15" s="18"/>
      <c r="L15" s="18"/>
    </row>
    <row r="16" spans="1:16" x14ac:dyDescent="0.25">
      <c r="F16" s="1"/>
      <c r="G16" s="1"/>
      <c r="H16" s="1"/>
      <c r="I16" s="18"/>
      <c r="J16" s="18"/>
      <c r="K16" s="18"/>
      <c r="L16" s="18"/>
    </row>
    <row r="17" spans="6:12" x14ac:dyDescent="0.25">
      <c r="F17" s="1"/>
      <c r="G17" s="1"/>
      <c r="H17" s="1"/>
      <c r="I17" s="18"/>
      <c r="J17" s="18"/>
      <c r="K17" s="18"/>
      <c r="L17" s="18"/>
    </row>
    <row r="18" spans="6:12" x14ac:dyDescent="0.25">
      <c r="F18" s="1"/>
      <c r="G18" s="1"/>
      <c r="H18" s="1"/>
      <c r="I18" s="18"/>
      <c r="J18" s="18"/>
      <c r="K18" s="18"/>
      <c r="L18" s="18"/>
    </row>
    <row r="19" spans="6:12" x14ac:dyDescent="0.25">
      <c r="F19" s="1"/>
      <c r="G19" s="1"/>
      <c r="H19" s="1"/>
      <c r="I19" s="18"/>
      <c r="J19" s="18"/>
      <c r="K19" s="18"/>
      <c r="L19" s="18"/>
    </row>
    <row r="20" spans="6:12" x14ac:dyDescent="0.25">
      <c r="F20" s="1"/>
      <c r="G20" s="1"/>
      <c r="H20" s="1"/>
      <c r="I20" s="18"/>
      <c r="J20" s="18"/>
      <c r="K20" s="18"/>
      <c r="L20" s="18"/>
    </row>
    <row r="21" spans="6:12" x14ac:dyDescent="0.25">
      <c r="F21" s="1"/>
      <c r="G21" s="1"/>
      <c r="H21" s="1"/>
      <c r="I21" s="18"/>
      <c r="J21" s="18"/>
      <c r="K21" s="18"/>
      <c r="L21" s="18"/>
    </row>
    <row r="22" spans="6:12" x14ac:dyDescent="0.25">
      <c r="F22" s="1"/>
      <c r="G22" s="1"/>
      <c r="H22" s="1"/>
      <c r="I22" s="18"/>
      <c r="J22" s="18"/>
      <c r="K22" s="18"/>
      <c r="L22" s="18"/>
    </row>
    <row r="23" spans="6:12" x14ac:dyDescent="0.25">
      <c r="F23" s="1"/>
      <c r="G23" s="1"/>
      <c r="H23" s="1"/>
      <c r="J23" s="18"/>
      <c r="K23" s="18"/>
      <c r="L23"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9DA-FF49-4B76-902C-8341252ED1E7}">
  <dimension ref="A1:P158"/>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ht="26.4" x14ac:dyDescent="0.25">
      <c r="A2" s="140" t="s">
        <v>1478</v>
      </c>
      <c r="B2" s="140" t="s">
        <v>451</v>
      </c>
      <c r="C2" s="190" t="s">
        <v>21</v>
      </c>
      <c r="D2" s="35" t="s">
        <v>449</v>
      </c>
      <c r="E2" s="35">
        <v>1</v>
      </c>
      <c r="F2" s="46" t="s">
        <v>1479</v>
      </c>
      <c r="G2" s="128">
        <v>1</v>
      </c>
      <c r="H2" s="129" t="s">
        <v>14</v>
      </c>
      <c r="I2" s="51">
        <v>7715</v>
      </c>
      <c r="J2" s="51">
        <v>7715</v>
      </c>
      <c r="K2" s="82"/>
      <c r="L2" s="82"/>
      <c r="M2" s="144"/>
      <c r="N2" s="38" t="s">
        <v>454</v>
      </c>
      <c r="O2" s="7"/>
      <c r="P2" s="7"/>
    </row>
    <row r="3" spans="1:16" ht="26.4" x14ac:dyDescent="0.25">
      <c r="A3" s="140" t="s">
        <v>1478</v>
      </c>
      <c r="B3" s="140" t="s">
        <v>451</v>
      </c>
      <c r="C3" s="190" t="s">
        <v>21</v>
      </c>
      <c r="D3" s="35" t="s">
        <v>449</v>
      </c>
      <c r="E3" s="35">
        <v>1</v>
      </c>
      <c r="F3" s="46" t="s">
        <v>1480</v>
      </c>
      <c r="G3" s="128">
        <v>1</v>
      </c>
      <c r="H3" s="129" t="s">
        <v>14</v>
      </c>
      <c r="I3" s="51">
        <v>26615</v>
      </c>
      <c r="J3" s="51">
        <v>26615</v>
      </c>
      <c r="K3" s="82">
        <v>7.78</v>
      </c>
      <c r="L3" s="82">
        <v>1.44</v>
      </c>
      <c r="M3" s="144">
        <v>1.98</v>
      </c>
      <c r="N3" s="38" t="s">
        <v>2</v>
      </c>
      <c r="O3" s="7"/>
      <c r="P3" s="7"/>
    </row>
    <row r="4" spans="1:16" ht="20.399999999999999" x14ac:dyDescent="0.25">
      <c r="A4" s="140" t="s">
        <v>1478</v>
      </c>
      <c r="B4" s="140" t="s">
        <v>451</v>
      </c>
      <c r="C4" s="190" t="s">
        <v>21</v>
      </c>
      <c r="D4" s="35" t="s">
        <v>449</v>
      </c>
      <c r="E4" s="35">
        <v>1</v>
      </c>
      <c r="F4" s="46" t="s">
        <v>1481</v>
      </c>
      <c r="G4" s="128">
        <v>1</v>
      </c>
      <c r="H4" s="129" t="s">
        <v>14</v>
      </c>
      <c r="I4" s="51">
        <v>655</v>
      </c>
      <c r="J4" s="51">
        <v>655</v>
      </c>
      <c r="K4" s="82">
        <v>3.1</v>
      </c>
      <c r="L4" s="82">
        <v>0.9</v>
      </c>
      <c r="M4" s="144">
        <v>1.56</v>
      </c>
      <c r="N4" s="38" t="s">
        <v>2</v>
      </c>
      <c r="O4" s="7"/>
      <c r="P4" s="7"/>
    </row>
    <row r="5" spans="1:16" ht="26.4" x14ac:dyDescent="0.25">
      <c r="A5" s="140" t="s">
        <v>1478</v>
      </c>
      <c r="B5" s="140" t="s">
        <v>451</v>
      </c>
      <c r="C5" s="190" t="s">
        <v>21</v>
      </c>
      <c r="D5" s="35" t="s">
        <v>449</v>
      </c>
      <c r="E5" s="35">
        <v>1</v>
      </c>
      <c r="F5" s="46" t="s">
        <v>1482</v>
      </c>
      <c r="G5" s="128">
        <v>1</v>
      </c>
      <c r="H5" s="129" t="s">
        <v>14</v>
      </c>
      <c r="I5" s="51">
        <v>3225</v>
      </c>
      <c r="J5" s="51">
        <v>3225</v>
      </c>
      <c r="K5" s="82">
        <v>2.1</v>
      </c>
      <c r="L5" s="82">
        <v>1.05</v>
      </c>
      <c r="M5" s="144">
        <v>1.19</v>
      </c>
      <c r="N5" s="38" t="s">
        <v>2</v>
      </c>
      <c r="O5" s="7"/>
      <c r="P5" s="7"/>
    </row>
    <row r="6" spans="1:16" ht="26.4" x14ac:dyDescent="0.25">
      <c r="A6" s="140" t="s">
        <v>1478</v>
      </c>
      <c r="B6" s="140" t="s">
        <v>451</v>
      </c>
      <c r="C6" s="190" t="s">
        <v>18</v>
      </c>
      <c r="D6" s="35" t="s">
        <v>449</v>
      </c>
      <c r="E6" s="35">
        <v>1</v>
      </c>
      <c r="F6" s="46" t="s">
        <v>1563</v>
      </c>
      <c r="G6" s="128">
        <v>2</v>
      </c>
      <c r="H6" s="129" t="s">
        <v>14</v>
      </c>
      <c r="I6" s="48">
        <v>190</v>
      </c>
      <c r="J6" s="48">
        <v>210</v>
      </c>
      <c r="K6" s="82">
        <v>3</v>
      </c>
      <c r="L6" s="82">
        <v>1</v>
      </c>
      <c r="M6" s="144">
        <v>0.79</v>
      </c>
      <c r="N6" s="38" t="s">
        <v>2</v>
      </c>
      <c r="O6" s="7"/>
      <c r="P6" s="7"/>
    </row>
    <row r="7" spans="1:16" ht="20.399999999999999" x14ac:dyDescent="0.25">
      <c r="A7" s="140" t="s">
        <v>1478</v>
      </c>
      <c r="B7" s="140" t="s">
        <v>451</v>
      </c>
      <c r="C7" s="190" t="s">
        <v>18</v>
      </c>
      <c r="D7" s="35" t="s">
        <v>450</v>
      </c>
      <c r="E7" s="35">
        <v>1</v>
      </c>
      <c r="F7" s="46" t="s">
        <v>1564</v>
      </c>
      <c r="G7" s="128">
        <v>1</v>
      </c>
      <c r="H7" s="129" t="s">
        <v>14</v>
      </c>
      <c r="I7" s="48">
        <v>110</v>
      </c>
      <c r="J7" s="48">
        <v>130</v>
      </c>
      <c r="K7" s="82">
        <v>2.4</v>
      </c>
      <c r="L7" s="82">
        <v>1</v>
      </c>
      <c r="M7" s="144">
        <v>0.79</v>
      </c>
      <c r="N7" s="38" t="s">
        <v>2</v>
      </c>
      <c r="O7" s="7"/>
      <c r="P7" s="7"/>
    </row>
    <row r="8" spans="1:16" ht="39.6" x14ac:dyDescent="0.25">
      <c r="A8" s="140" t="s">
        <v>1478</v>
      </c>
      <c r="B8" s="140" t="s">
        <v>451</v>
      </c>
      <c r="C8" s="190" t="s">
        <v>21</v>
      </c>
      <c r="D8" s="35" t="s">
        <v>378</v>
      </c>
      <c r="E8" s="35">
        <v>1</v>
      </c>
      <c r="F8" s="46" t="s">
        <v>453</v>
      </c>
      <c r="G8" s="128">
        <v>4</v>
      </c>
      <c r="H8" s="76" t="s">
        <v>14</v>
      </c>
      <c r="I8" s="48">
        <v>230</v>
      </c>
      <c r="J8" s="48">
        <v>230</v>
      </c>
      <c r="K8" s="82">
        <v>0.8</v>
      </c>
      <c r="L8" s="82">
        <v>0.8</v>
      </c>
      <c r="M8" s="82">
        <v>1</v>
      </c>
      <c r="N8" s="38" t="s">
        <v>85</v>
      </c>
      <c r="O8" s="8"/>
      <c r="P8" s="8"/>
    </row>
    <row r="9" spans="1:16" s="8" customFormat="1" ht="26.4" x14ac:dyDescent="0.25">
      <c r="A9" s="140" t="s">
        <v>1478</v>
      </c>
      <c r="B9" s="140" t="s">
        <v>161</v>
      </c>
      <c r="C9" s="190" t="s">
        <v>21</v>
      </c>
      <c r="D9" s="35" t="s">
        <v>162</v>
      </c>
      <c r="E9" s="35">
        <v>1</v>
      </c>
      <c r="F9" s="46" t="s">
        <v>1483</v>
      </c>
      <c r="G9" s="75">
        <v>1</v>
      </c>
      <c r="H9" s="76" t="s">
        <v>14</v>
      </c>
      <c r="I9" s="51">
        <v>8930</v>
      </c>
      <c r="J9" s="51">
        <v>8930</v>
      </c>
      <c r="K9" s="82"/>
      <c r="L9" s="82"/>
      <c r="M9" s="82"/>
      <c r="N9" s="36" t="s">
        <v>163</v>
      </c>
    </row>
    <row r="10" spans="1:16" s="8" customFormat="1" ht="26.4" x14ac:dyDescent="0.25">
      <c r="A10" s="140" t="s">
        <v>1478</v>
      </c>
      <c r="B10" s="140" t="s">
        <v>161</v>
      </c>
      <c r="C10" s="190" t="s">
        <v>21</v>
      </c>
      <c r="D10" s="35" t="s">
        <v>162</v>
      </c>
      <c r="E10" s="35">
        <v>1</v>
      </c>
      <c r="F10" s="46" t="s">
        <v>1480</v>
      </c>
      <c r="G10" s="75">
        <v>1</v>
      </c>
      <c r="H10" s="76" t="s">
        <v>14</v>
      </c>
      <c r="I10" s="51">
        <v>26780</v>
      </c>
      <c r="J10" s="51">
        <v>26780</v>
      </c>
      <c r="K10" s="82">
        <v>7.67</v>
      </c>
      <c r="L10" s="82">
        <v>1.44</v>
      </c>
      <c r="M10" s="82">
        <v>1.98</v>
      </c>
      <c r="N10" s="36" t="s">
        <v>1</v>
      </c>
    </row>
    <row r="11" spans="1:16" s="8" customFormat="1" ht="20.399999999999999" x14ac:dyDescent="0.25">
      <c r="A11" s="140" t="s">
        <v>1478</v>
      </c>
      <c r="B11" s="140" t="s">
        <v>161</v>
      </c>
      <c r="C11" s="190" t="s">
        <v>21</v>
      </c>
      <c r="D11" s="35" t="s">
        <v>162</v>
      </c>
      <c r="E11" s="35">
        <v>1</v>
      </c>
      <c r="F11" s="46" t="s">
        <v>1481</v>
      </c>
      <c r="G11" s="75">
        <v>1</v>
      </c>
      <c r="H11" s="76" t="s">
        <v>14</v>
      </c>
      <c r="I11" s="51">
        <v>655</v>
      </c>
      <c r="J11" s="51">
        <v>655</v>
      </c>
      <c r="K11" s="82">
        <v>3.1</v>
      </c>
      <c r="L11" s="82">
        <v>0.9</v>
      </c>
      <c r="M11" s="82">
        <v>1.56</v>
      </c>
      <c r="N11" s="36" t="s">
        <v>85</v>
      </c>
    </row>
    <row r="12" spans="1:16" s="8" customFormat="1" ht="26.4" x14ac:dyDescent="0.25">
      <c r="A12" s="140" t="s">
        <v>1478</v>
      </c>
      <c r="B12" s="140" t="s">
        <v>161</v>
      </c>
      <c r="C12" s="190" t="s">
        <v>21</v>
      </c>
      <c r="D12" s="35" t="s">
        <v>162</v>
      </c>
      <c r="E12" s="35">
        <v>1</v>
      </c>
      <c r="F12" s="46" t="s">
        <v>1484</v>
      </c>
      <c r="G12" s="75">
        <v>1</v>
      </c>
      <c r="H12" s="76" t="s">
        <v>14</v>
      </c>
      <c r="I12" s="51">
        <v>4445</v>
      </c>
      <c r="J12" s="51">
        <v>4445</v>
      </c>
      <c r="K12" s="82">
        <v>2.17</v>
      </c>
      <c r="L12" s="82">
        <v>1.56</v>
      </c>
      <c r="M12" s="82">
        <v>1.28</v>
      </c>
      <c r="N12" s="36" t="s">
        <v>85</v>
      </c>
    </row>
    <row r="13" spans="1:16" s="8" customFormat="1" ht="26.4" x14ac:dyDescent="0.25">
      <c r="A13" s="140" t="s">
        <v>1478</v>
      </c>
      <c r="B13" s="140" t="s">
        <v>161</v>
      </c>
      <c r="C13" s="190" t="s">
        <v>21</v>
      </c>
      <c r="D13" s="35" t="s">
        <v>162</v>
      </c>
      <c r="E13" s="35">
        <v>1</v>
      </c>
      <c r="F13" s="46" t="s">
        <v>1485</v>
      </c>
      <c r="G13" s="75">
        <v>4</v>
      </c>
      <c r="H13" s="76" t="s">
        <v>14</v>
      </c>
      <c r="I13" s="48">
        <v>210</v>
      </c>
      <c r="J13" s="48">
        <v>210</v>
      </c>
      <c r="K13" s="82">
        <v>0.8</v>
      </c>
      <c r="L13" s="82">
        <v>0.8</v>
      </c>
      <c r="M13" s="82">
        <v>1</v>
      </c>
      <c r="N13" s="38" t="s">
        <v>85</v>
      </c>
    </row>
    <row r="14" spans="1:16" s="8" customFormat="1" ht="20.399999999999999" x14ac:dyDescent="0.25">
      <c r="A14" s="140" t="s">
        <v>1478</v>
      </c>
      <c r="B14" s="140" t="s">
        <v>161</v>
      </c>
      <c r="C14" s="190" t="s">
        <v>18</v>
      </c>
      <c r="D14" s="35" t="s">
        <v>162</v>
      </c>
      <c r="E14" s="35">
        <v>1</v>
      </c>
      <c r="F14" s="46" t="s">
        <v>1486</v>
      </c>
      <c r="G14" s="75">
        <v>2</v>
      </c>
      <c r="H14" s="76" t="s">
        <v>14</v>
      </c>
      <c r="I14" s="48">
        <v>180</v>
      </c>
      <c r="J14" s="48">
        <v>200</v>
      </c>
      <c r="K14" s="82">
        <v>3</v>
      </c>
      <c r="L14" s="82">
        <v>1</v>
      </c>
      <c r="M14" s="82">
        <v>0.79</v>
      </c>
      <c r="N14" s="38" t="s">
        <v>85</v>
      </c>
    </row>
    <row r="15" spans="1:16" s="8" customFormat="1" ht="20.399999999999999" x14ac:dyDescent="0.25">
      <c r="A15" s="140" t="s">
        <v>1478</v>
      </c>
      <c r="B15" s="140" t="s">
        <v>161</v>
      </c>
      <c r="C15" s="190" t="s">
        <v>21</v>
      </c>
      <c r="D15" s="35" t="s">
        <v>162</v>
      </c>
      <c r="E15" s="35">
        <v>1</v>
      </c>
      <c r="F15" s="46" t="s">
        <v>1487</v>
      </c>
      <c r="G15" s="75">
        <v>1</v>
      </c>
      <c r="H15" s="76" t="s">
        <v>14</v>
      </c>
      <c r="I15" s="51">
        <v>3900</v>
      </c>
      <c r="J15" s="51">
        <v>3900</v>
      </c>
      <c r="K15" s="82"/>
      <c r="L15" s="82"/>
      <c r="M15" s="82"/>
      <c r="N15" s="36" t="s">
        <v>181</v>
      </c>
    </row>
    <row r="16" spans="1:16" s="8" customFormat="1" ht="20.399999999999999" x14ac:dyDescent="0.25">
      <c r="A16" s="140" t="s">
        <v>1478</v>
      </c>
      <c r="B16" s="140" t="s">
        <v>1009</v>
      </c>
      <c r="C16" s="190" t="s">
        <v>21</v>
      </c>
      <c r="D16" s="35"/>
      <c r="E16" s="35">
        <v>1</v>
      </c>
      <c r="F16" s="46" t="s">
        <v>1487</v>
      </c>
      <c r="G16" s="75">
        <v>1</v>
      </c>
      <c r="H16" s="76" t="s">
        <v>14</v>
      </c>
      <c r="I16" s="51">
        <v>3766</v>
      </c>
      <c r="J16" s="51">
        <v>3766</v>
      </c>
      <c r="K16" s="82">
        <v>3.9</v>
      </c>
      <c r="L16" s="82">
        <v>0.99</v>
      </c>
      <c r="M16" s="82">
        <v>0.55000000000000004</v>
      </c>
      <c r="N16" s="36" t="s">
        <v>1010</v>
      </c>
    </row>
    <row r="17" spans="1:14" s="8" customFormat="1" ht="26.4" x14ac:dyDescent="0.25">
      <c r="A17" s="140" t="s">
        <v>1478</v>
      </c>
      <c r="B17" s="140" t="s">
        <v>377</v>
      </c>
      <c r="C17" s="190" t="s">
        <v>21</v>
      </c>
      <c r="D17" s="35" t="s">
        <v>378</v>
      </c>
      <c r="E17" s="35">
        <v>1</v>
      </c>
      <c r="F17" s="46" t="s">
        <v>1488</v>
      </c>
      <c r="G17" s="75">
        <v>1</v>
      </c>
      <c r="H17" s="76" t="s">
        <v>14</v>
      </c>
      <c r="I17" s="51">
        <v>2990</v>
      </c>
      <c r="J17" s="51">
        <v>2990</v>
      </c>
      <c r="K17" s="82"/>
      <c r="L17" s="82"/>
      <c r="M17" s="82"/>
      <c r="N17" s="36" t="s">
        <v>85</v>
      </c>
    </row>
    <row r="18" spans="1:14" s="8" customFormat="1" ht="20.399999999999999" x14ac:dyDescent="0.25">
      <c r="A18" s="140" t="s">
        <v>1478</v>
      </c>
      <c r="B18" s="140" t="s">
        <v>161</v>
      </c>
      <c r="C18" s="190" t="s">
        <v>21</v>
      </c>
      <c r="D18" s="35" t="s">
        <v>162</v>
      </c>
      <c r="E18" s="35">
        <v>1</v>
      </c>
      <c r="F18" s="46" t="s">
        <v>1489</v>
      </c>
      <c r="G18" s="75">
        <v>62</v>
      </c>
      <c r="H18" s="76" t="s">
        <v>396</v>
      </c>
      <c r="I18" s="51">
        <v>669.6</v>
      </c>
      <c r="J18" s="51">
        <v>669.6</v>
      </c>
      <c r="K18" s="82"/>
      <c r="L18" s="82"/>
      <c r="M18" s="82"/>
      <c r="N18" s="36" t="s">
        <v>182</v>
      </c>
    </row>
    <row r="19" spans="1:14" s="8" customFormat="1" ht="20.399999999999999" x14ac:dyDescent="0.25">
      <c r="A19" s="140" t="s">
        <v>1478</v>
      </c>
      <c r="B19" s="140" t="s">
        <v>161</v>
      </c>
      <c r="C19" s="190" t="s">
        <v>21</v>
      </c>
      <c r="D19" s="35" t="s">
        <v>162</v>
      </c>
      <c r="E19" s="35">
        <v>1</v>
      </c>
      <c r="F19" s="46" t="s">
        <v>1490</v>
      </c>
      <c r="G19" s="75">
        <v>3</v>
      </c>
      <c r="H19" s="76" t="s">
        <v>396</v>
      </c>
      <c r="I19" s="51">
        <v>22.5</v>
      </c>
      <c r="J19" s="51">
        <v>22.5</v>
      </c>
      <c r="K19" s="82"/>
      <c r="L19" s="82"/>
      <c r="M19" s="82"/>
      <c r="N19" s="36" t="s">
        <v>182</v>
      </c>
    </row>
    <row r="20" spans="1:14" s="8" customFormat="1" ht="20.399999999999999" x14ac:dyDescent="0.25">
      <c r="A20" s="140" t="s">
        <v>1478</v>
      </c>
      <c r="B20" s="140" t="s">
        <v>161</v>
      </c>
      <c r="C20" s="190" t="s">
        <v>21</v>
      </c>
      <c r="D20" s="35" t="s">
        <v>162</v>
      </c>
      <c r="E20" s="35">
        <v>1</v>
      </c>
      <c r="F20" s="46" t="s">
        <v>1491</v>
      </c>
      <c r="G20" s="75">
        <v>3</v>
      </c>
      <c r="H20" s="76" t="s">
        <v>14</v>
      </c>
      <c r="I20" s="51">
        <v>14.7</v>
      </c>
      <c r="J20" s="51">
        <v>14.7</v>
      </c>
      <c r="K20" s="82"/>
      <c r="L20" s="82"/>
      <c r="M20" s="82"/>
      <c r="N20" s="36" t="s">
        <v>182</v>
      </c>
    </row>
    <row r="21" spans="1:14" s="8" customFormat="1" ht="20.399999999999999" x14ac:dyDescent="0.25">
      <c r="A21" s="140" t="s">
        <v>1478</v>
      </c>
      <c r="B21" s="140" t="s">
        <v>161</v>
      </c>
      <c r="C21" s="190" t="s">
        <v>21</v>
      </c>
      <c r="D21" s="35" t="s">
        <v>162</v>
      </c>
      <c r="E21" s="35">
        <v>1</v>
      </c>
      <c r="F21" s="46" t="s">
        <v>1492</v>
      </c>
      <c r="G21" s="75">
        <v>6</v>
      </c>
      <c r="H21" s="76" t="s">
        <v>14</v>
      </c>
      <c r="I21" s="51">
        <v>25.26</v>
      </c>
      <c r="J21" s="51">
        <v>25.26</v>
      </c>
      <c r="K21" s="82"/>
      <c r="L21" s="82"/>
      <c r="M21" s="82"/>
      <c r="N21" s="36" t="s">
        <v>182</v>
      </c>
    </row>
    <row r="22" spans="1:14" s="8" customFormat="1" ht="20.399999999999999" x14ac:dyDescent="0.25">
      <c r="A22" s="140" t="s">
        <v>1478</v>
      </c>
      <c r="B22" s="140" t="s">
        <v>161</v>
      </c>
      <c r="C22" s="190" t="s">
        <v>21</v>
      </c>
      <c r="D22" s="35" t="s">
        <v>162</v>
      </c>
      <c r="E22" s="35">
        <v>1</v>
      </c>
      <c r="F22" s="46" t="s">
        <v>1493</v>
      </c>
      <c r="G22" s="75">
        <v>20</v>
      </c>
      <c r="H22" s="76" t="s">
        <v>14</v>
      </c>
      <c r="I22" s="51">
        <v>62</v>
      </c>
      <c r="J22" s="51">
        <v>62</v>
      </c>
      <c r="K22" s="82"/>
      <c r="L22" s="82"/>
      <c r="M22" s="82"/>
      <c r="N22" s="36" t="s">
        <v>182</v>
      </c>
    </row>
    <row r="23" spans="1:14" s="8" customFormat="1" ht="20.399999999999999" x14ac:dyDescent="0.25">
      <c r="A23" s="140" t="s">
        <v>1478</v>
      </c>
      <c r="B23" s="140" t="s">
        <v>161</v>
      </c>
      <c r="C23" s="190" t="s">
        <v>21</v>
      </c>
      <c r="D23" s="35" t="s">
        <v>162</v>
      </c>
      <c r="E23" s="35">
        <v>1</v>
      </c>
      <c r="F23" s="46" t="s">
        <v>1494</v>
      </c>
      <c r="G23" s="75">
        <v>2</v>
      </c>
      <c r="H23" s="76" t="s">
        <v>14</v>
      </c>
      <c r="I23" s="51">
        <v>7.4</v>
      </c>
      <c r="J23" s="51">
        <v>7.4</v>
      </c>
      <c r="K23" s="82"/>
      <c r="L23" s="82"/>
      <c r="M23" s="82"/>
      <c r="N23" s="36" t="s">
        <v>182</v>
      </c>
    </row>
    <row r="24" spans="1:14" s="8" customFormat="1" ht="20.399999999999999" x14ac:dyDescent="0.25">
      <c r="A24" s="140" t="s">
        <v>1478</v>
      </c>
      <c r="B24" s="140" t="s">
        <v>161</v>
      </c>
      <c r="C24" s="190" t="s">
        <v>21</v>
      </c>
      <c r="D24" s="35" t="s">
        <v>162</v>
      </c>
      <c r="E24" s="35">
        <v>1</v>
      </c>
      <c r="F24" s="46" t="s">
        <v>1495</v>
      </c>
      <c r="G24" s="75">
        <v>2</v>
      </c>
      <c r="H24" s="76" t="s">
        <v>14</v>
      </c>
      <c r="I24" s="51">
        <v>7.4</v>
      </c>
      <c r="J24" s="51">
        <v>7.4</v>
      </c>
      <c r="K24" s="82"/>
      <c r="L24" s="82"/>
      <c r="M24" s="82"/>
      <c r="N24" s="36" t="s">
        <v>182</v>
      </c>
    </row>
    <row r="25" spans="1:14" s="8" customFormat="1" ht="20.399999999999999" x14ac:dyDescent="0.25">
      <c r="A25" s="140" t="s">
        <v>1478</v>
      </c>
      <c r="B25" s="140" t="s">
        <v>161</v>
      </c>
      <c r="C25" s="190" t="s">
        <v>21</v>
      </c>
      <c r="D25" s="35" t="s">
        <v>162</v>
      </c>
      <c r="E25" s="35">
        <v>1</v>
      </c>
      <c r="F25" s="46" t="s">
        <v>1496</v>
      </c>
      <c r="G25" s="75">
        <v>2</v>
      </c>
      <c r="H25" s="76" t="s">
        <v>14</v>
      </c>
      <c r="I25" s="51">
        <v>7.8</v>
      </c>
      <c r="J25" s="51">
        <v>7.8</v>
      </c>
      <c r="K25" s="82"/>
      <c r="L25" s="82"/>
      <c r="M25" s="82"/>
      <c r="N25" s="36" t="s">
        <v>182</v>
      </c>
    </row>
    <row r="26" spans="1:14" s="8" customFormat="1" ht="20.399999999999999" x14ac:dyDescent="0.25">
      <c r="A26" s="140" t="s">
        <v>1478</v>
      </c>
      <c r="B26" s="140" t="s">
        <v>161</v>
      </c>
      <c r="C26" s="190" t="s">
        <v>21</v>
      </c>
      <c r="D26" s="35" t="s">
        <v>162</v>
      </c>
      <c r="E26" s="35">
        <v>1</v>
      </c>
      <c r="F26" s="46" t="s">
        <v>1497</v>
      </c>
      <c r="G26" s="75">
        <v>2</v>
      </c>
      <c r="H26" s="76" t="s">
        <v>14</v>
      </c>
      <c r="I26" s="51">
        <v>7.8</v>
      </c>
      <c r="J26" s="51">
        <v>7.8</v>
      </c>
      <c r="K26" s="82"/>
      <c r="L26" s="82"/>
      <c r="M26" s="82"/>
      <c r="N26" s="36" t="s">
        <v>182</v>
      </c>
    </row>
    <row r="27" spans="1:14" s="8" customFormat="1" ht="20.399999999999999" x14ac:dyDescent="0.25">
      <c r="A27" s="140" t="s">
        <v>1478</v>
      </c>
      <c r="B27" s="140" t="s">
        <v>161</v>
      </c>
      <c r="C27" s="190" t="s">
        <v>21</v>
      </c>
      <c r="D27" s="35" t="s">
        <v>162</v>
      </c>
      <c r="E27" s="35">
        <v>1</v>
      </c>
      <c r="F27" s="46" t="s">
        <v>1498</v>
      </c>
      <c r="G27" s="75">
        <v>2</v>
      </c>
      <c r="H27" s="76" t="s">
        <v>14</v>
      </c>
      <c r="I27" s="51">
        <v>8.8000000000000007</v>
      </c>
      <c r="J27" s="51">
        <v>8.8000000000000007</v>
      </c>
      <c r="K27" s="82"/>
      <c r="L27" s="82"/>
      <c r="M27" s="82"/>
      <c r="N27" s="36" t="s">
        <v>182</v>
      </c>
    </row>
    <row r="28" spans="1:14" s="8" customFormat="1" ht="20.399999999999999" x14ac:dyDescent="0.25">
      <c r="A28" s="140" t="s">
        <v>1478</v>
      </c>
      <c r="B28" s="140" t="s">
        <v>161</v>
      </c>
      <c r="C28" s="190" t="s">
        <v>21</v>
      </c>
      <c r="D28" s="35" t="s">
        <v>162</v>
      </c>
      <c r="E28" s="35">
        <v>1</v>
      </c>
      <c r="F28" s="46" t="s">
        <v>1499</v>
      </c>
      <c r="G28" s="75">
        <v>2</v>
      </c>
      <c r="H28" s="76" t="s">
        <v>14</v>
      </c>
      <c r="I28" s="51">
        <v>8.8000000000000007</v>
      </c>
      <c r="J28" s="51">
        <v>8.8000000000000007</v>
      </c>
      <c r="K28" s="82"/>
      <c r="L28" s="82"/>
      <c r="M28" s="82"/>
      <c r="N28" s="36" t="s">
        <v>182</v>
      </c>
    </row>
    <row r="29" spans="1:14" s="8" customFormat="1" ht="20.399999999999999" x14ac:dyDescent="0.25">
      <c r="A29" s="140" t="s">
        <v>1478</v>
      </c>
      <c r="B29" s="140" t="s">
        <v>161</v>
      </c>
      <c r="C29" s="190" t="s">
        <v>21</v>
      </c>
      <c r="D29" s="35" t="s">
        <v>162</v>
      </c>
      <c r="E29" s="35">
        <v>1</v>
      </c>
      <c r="F29" s="46" t="s">
        <v>1500</v>
      </c>
      <c r="G29" s="75">
        <v>2</v>
      </c>
      <c r="H29" s="76" t="s">
        <v>14</v>
      </c>
      <c r="I29" s="51">
        <v>8</v>
      </c>
      <c r="J29" s="51">
        <v>8</v>
      </c>
      <c r="K29" s="82"/>
      <c r="L29" s="82"/>
      <c r="M29" s="82"/>
      <c r="N29" s="36" t="s">
        <v>182</v>
      </c>
    </row>
    <row r="30" spans="1:14" s="8" customFormat="1" ht="20.399999999999999" x14ac:dyDescent="0.25">
      <c r="A30" s="140" t="s">
        <v>1478</v>
      </c>
      <c r="B30" s="140" t="s">
        <v>161</v>
      </c>
      <c r="C30" s="190" t="s">
        <v>21</v>
      </c>
      <c r="D30" s="35" t="s">
        <v>162</v>
      </c>
      <c r="E30" s="35">
        <v>1</v>
      </c>
      <c r="F30" s="46" t="s">
        <v>1501</v>
      </c>
      <c r="G30" s="75">
        <v>2</v>
      </c>
      <c r="H30" s="76" t="s">
        <v>14</v>
      </c>
      <c r="I30" s="51">
        <v>7.4</v>
      </c>
      <c r="J30" s="51">
        <v>7.4</v>
      </c>
      <c r="K30" s="82"/>
      <c r="L30" s="82"/>
      <c r="M30" s="82"/>
      <c r="N30" s="36" t="s">
        <v>182</v>
      </c>
    </row>
    <row r="31" spans="1:14" s="8" customFormat="1" ht="20.399999999999999" x14ac:dyDescent="0.25">
      <c r="A31" s="140" t="s">
        <v>1478</v>
      </c>
      <c r="B31" s="140" t="s">
        <v>161</v>
      </c>
      <c r="C31" s="190" t="s">
        <v>21</v>
      </c>
      <c r="D31" s="35" t="s">
        <v>162</v>
      </c>
      <c r="E31" s="35">
        <v>1</v>
      </c>
      <c r="F31" s="46" t="s">
        <v>1502</v>
      </c>
      <c r="G31" s="75">
        <v>2</v>
      </c>
      <c r="H31" s="76" t="s">
        <v>14</v>
      </c>
      <c r="I31" s="51">
        <v>6.4</v>
      </c>
      <c r="J31" s="51">
        <v>6.4</v>
      </c>
      <c r="K31" s="82"/>
      <c r="L31" s="82"/>
      <c r="M31" s="82"/>
      <c r="N31" s="36" t="s">
        <v>182</v>
      </c>
    </row>
    <row r="32" spans="1:14" s="8" customFormat="1" ht="20.399999999999999" x14ac:dyDescent="0.25">
      <c r="A32" s="140" t="s">
        <v>1478</v>
      </c>
      <c r="B32" s="140" t="s">
        <v>161</v>
      </c>
      <c r="C32" s="190" t="s">
        <v>21</v>
      </c>
      <c r="D32" s="35" t="s">
        <v>162</v>
      </c>
      <c r="E32" s="35">
        <v>1</v>
      </c>
      <c r="F32" s="46" t="s">
        <v>1503</v>
      </c>
      <c r="G32" s="75">
        <v>2</v>
      </c>
      <c r="H32" s="76" t="s">
        <v>14</v>
      </c>
      <c r="I32" s="51">
        <v>6.6</v>
      </c>
      <c r="J32" s="51">
        <v>6.6</v>
      </c>
      <c r="K32" s="82"/>
      <c r="L32" s="82"/>
      <c r="M32" s="82"/>
      <c r="N32" s="36" t="s">
        <v>182</v>
      </c>
    </row>
    <row r="33" spans="1:14" s="8" customFormat="1" ht="20.399999999999999" x14ac:dyDescent="0.25">
      <c r="A33" s="140" t="s">
        <v>1478</v>
      </c>
      <c r="B33" s="140" t="s">
        <v>161</v>
      </c>
      <c r="C33" s="190" t="s">
        <v>21</v>
      </c>
      <c r="D33" s="35" t="s">
        <v>162</v>
      </c>
      <c r="E33" s="35">
        <v>1</v>
      </c>
      <c r="F33" s="46" t="s">
        <v>1504</v>
      </c>
      <c r="G33" s="75">
        <v>2</v>
      </c>
      <c r="H33" s="76" t="s">
        <v>14</v>
      </c>
      <c r="I33" s="51">
        <v>6.6</v>
      </c>
      <c r="J33" s="51">
        <v>6.6</v>
      </c>
      <c r="K33" s="82"/>
      <c r="L33" s="82"/>
      <c r="M33" s="82"/>
      <c r="N33" s="36" t="s">
        <v>182</v>
      </c>
    </row>
    <row r="34" spans="1:14" s="8" customFormat="1" ht="20.399999999999999" x14ac:dyDescent="0.25">
      <c r="A34" s="140" t="s">
        <v>1478</v>
      </c>
      <c r="B34" s="140" t="s">
        <v>161</v>
      </c>
      <c r="C34" s="190" t="s">
        <v>21</v>
      </c>
      <c r="D34" s="35" t="s">
        <v>162</v>
      </c>
      <c r="E34" s="35">
        <v>1</v>
      </c>
      <c r="F34" s="46" t="s">
        <v>1505</v>
      </c>
      <c r="G34" s="75">
        <v>2</v>
      </c>
      <c r="H34" s="76" t="s">
        <v>14</v>
      </c>
      <c r="I34" s="51">
        <v>2.8</v>
      </c>
      <c r="J34" s="51">
        <v>2.8</v>
      </c>
      <c r="K34" s="82"/>
      <c r="L34" s="82"/>
      <c r="M34" s="82"/>
      <c r="N34" s="36" t="s">
        <v>182</v>
      </c>
    </row>
    <row r="35" spans="1:14" s="8" customFormat="1" ht="20.399999999999999" x14ac:dyDescent="0.25">
      <c r="A35" s="140" t="s">
        <v>1478</v>
      </c>
      <c r="B35" s="140" t="s">
        <v>161</v>
      </c>
      <c r="C35" s="190" t="s">
        <v>21</v>
      </c>
      <c r="D35" s="35" t="s">
        <v>162</v>
      </c>
      <c r="E35" s="35">
        <v>1</v>
      </c>
      <c r="F35" s="46" t="s">
        <v>1506</v>
      </c>
      <c r="G35" s="75">
        <v>1</v>
      </c>
      <c r="H35" s="76" t="s">
        <v>14</v>
      </c>
      <c r="I35" s="51">
        <v>0.62</v>
      </c>
      <c r="J35" s="51">
        <v>0.62</v>
      </c>
      <c r="K35" s="82"/>
      <c r="L35" s="82"/>
      <c r="M35" s="82"/>
      <c r="N35" s="36" t="s">
        <v>182</v>
      </c>
    </row>
    <row r="36" spans="1:14" s="8" customFormat="1" ht="20.399999999999999" x14ac:dyDescent="0.25">
      <c r="A36" s="140" t="s">
        <v>1478</v>
      </c>
      <c r="B36" s="140" t="s">
        <v>161</v>
      </c>
      <c r="C36" s="190" t="s">
        <v>21</v>
      </c>
      <c r="D36" s="35" t="s">
        <v>162</v>
      </c>
      <c r="E36" s="35">
        <v>1</v>
      </c>
      <c r="F36" s="46" t="s">
        <v>1507</v>
      </c>
      <c r="G36" s="75">
        <v>1</v>
      </c>
      <c r="H36" s="76" t="s">
        <v>14</v>
      </c>
      <c r="I36" s="51">
        <v>0.41</v>
      </c>
      <c r="J36" s="51">
        <v>0.41</v>
      </c>
      <c r="K36" s="82"/>
      <c r="L36" s="82"/>
      <c r="M36" s="82"/>
      <c r="N36" s="36" t="s">
        <v>182</v>
      </c>
    </row>
    <row r="37" spans="1:14" s="8" customFormat="1" ht="20.399999999999999" x14ac:dyDescent="0.25">
      <c r="A37" s="140" t="s">
        <v>1478</v>
      </c>
      <c r="B37" s="140" t="s">
        <v>161</v>
      </c>
      <c r="C37" s="190" t="s">
        <v>21</v>
      </c>
      <c r="D37" s="35" t="s">
        <v>162</v>
      </c>
      <c r="E37" s="35">
        <v>1</v>
      </c>
      <c r="F37" s="46" t="s">
        <v>1508</v>
      </c>
      <c r="G37" s="75">
        <v>1</v>
      </c>
      <c r="H37" s="76" t="s">
        <v>14</v>
      </c>
      <c r="I37" s="51">
        <v>700</v>
      </c>
      <c r="J37" s="51">
        <v>700</v>
      </c>
      <c r="K37" s="82"/>
      <c r="L37" s="82"/>
      <c r="M37" s="82"/>
      <c r="N37" s="36" t="s">
        <v>182</v>
      </c>
    </row>
    <row r="38" spans="1:14" s="8" customFormat="1" ht="20.399999999999999" x14ac:dyDescent="0.25">
      <c r="A38" s="140" t="s">
        <v>1478</v>
      </c>
      <c r="B38" s="140" t="s">
        <v>161</v>
      </c>
      <c r="C38" s="190" t="s">
        <v>21</v>
      </c>
      <c r="D38" s="35" t="s">
        <v>162</v>
      </c>
      <c r="E38" s="35">
        <v>1</v>
      </c>
      <c r="F38" s="46" t="s">
        <v>1509</v>
      </c>
      <c r="G38" s="75">
        <v>2</v>
      </c>
      <c r="H38" s="76" t="s">
        <v>14</v>
      </c>
      <c r="I38" s="51">
        <v>11.4</v>
      </c>
      <c r="J38" s="51">
        <v>11.4</v>
      </c>
      <c r="K38" s="82"/>
      <c r="L38" s="82"/>
      <c r="M38" s="82"/>
      <c r="N38" s="36" t="s">
        <v>182</v>
      </c>
    </row>
    <row r="39" spans="1:14" s="8" customFormat="1" ht="20.399999999999999" x14ac:dyDescent="0.25">
      <c r="A39" s="140" t="s">
        <v>1478</v>
      </c>
      <c r="B39" s="140" t="s">
        <v>161</v>
      </c>
      <c r="C39" s="190" t="s">
        <v>21</v>
      </c>
      <c r="D39" s="35" t="s">
        <v>162</v>
      </c>
      <c r="E39" s="35">
        <v>1</v>
      </c>
      <c r="F39" s="46" t="s">
        <v>1510</v>
      </c>
      <c r="G39" s="75">
        <v>1</v>
      </c>
      <c r="H39" s="76" t="s">
        <v>14</v>
      </c>
      <c r="I39" s="51">
        <v>1.2</v>
      </c>
      <c r="J39" s="51">
        <v>1.2</v>
      </c>
      <c r="K39" s="82"/>
      <c r="L39" s="82"/>
      <c r="M39" s="82"/>
      <c r="N39" s="36" t="s">
        <v>182</v>
      </c>
    </row>
    <row r="40" spans="1:14" s="8" customFormat="1" ht="20.399999999999999" x14ac:dyDescent="0.25">
      <c r="A40" s="140" t="s">
        <v>1478</v>
      </c>
      <c r="B40" s="140" t="s">
        <v>161</v>
      </c>
      <c r="C40" s="190" t="s">
        <v>21</v>
      </c>
      <c r="D40" s="35" t="s">
        <v>162</v>
      </c>
      <c r="E40" s="35">
        <v>1</v>
      </c>
      <c r="F40" s="46" t="s">
        <v>1511</v>
      </c>
      <c r="G40" s="75">
        <v>1</v>
      </c>
      <c r="H40" s="76" t="s">
        <v>14</v>
      </c>
      <c r="I40" s="51">
        <v>57.6</v>
      </c>
      <c r="J40" s="51">
        <v>57.6</v>
      </c>
      <c r="K40" s="82"/>
      <c r="L40" s="82"/>
      <c r="M40" s="82"/>
      <c r="N40" s="36" t="s">
        <v>182</v>
      </c>
    </row>
    <row r="41" spans="1:14" s="8" customFormat="1" ht="20.399999999999999" x14ac:dyDescent="0.25">
      <c r="A41" s="140" t="s">
        <v>1478</v>
      </c>
      <c r="B41" s="140" t="s">
        <v>161</v>
      </c>
      <c r="C41" s="190" t="s">
        <v>21</v>
      </c>
      <c r="D41" s="35" t="s">
        <v>162</v>
      </c>
      <c r="E41" s="35">
        <v>1</v>
      </c>
      <c r="F41" s="46" t="s">
        <v>1512</v>
      </c>
      <c r="G41" s="75">
        <v>1</v>
      </c>
      <c r="H41" s="76" t="s">
        <v>14</v>
      </c>
      <c r="I41" s="51">
        <v>7</v>
      </c>
      <c r="J41" s="51">
        <v>7</v>
      </c>
      <c r="K41" s="82"/>
      <c r="L41" s="82"/>
      <c r="M41" s="82"/>
      <c r="N41" s="36" t="s">
        <v>182</v>
      </c>
    </row>
    <row r="42" spans="1:14" s="8" customFormat="1" ht="20.399999999999999" x14ac:dyDescent="0.25">
      <c r="A42" s="140" t="s">
        <v>1478</v>
      </c>
      <c r="B42" s="140" t="s">
        <v>161</v>
      </c>
      <c r="C42" s="190" t="s">
        <v>21</v>
      </c>
      <c r="D42" s="35" t="s">
        <v>162</v>
      </c>
      <c r="E42" s="35">
        <v>1</v>
      </c>
      <c r="F42" s="46" t="s">
        <v>1513</v>
      </c>
      <c r="G42" s="75">
        <v>1</v>
      </c>
      <c r="H42" s="76" t="s">
        <v>14</v>
      </c>
      <c r="I42" s="51">
        <v>62</v>
      </c>
      <c r="J42" s="51">
        <v>62</v>
      </c>
      <c r="K42" s="82"/>
      <c r="L42" s="82"/>
      <c r="M42" s="82"/>
      <c r="N42" s="36" t="s">
        <v>125</v>
      </c>
    </row>
    <row r="43" spans="1:14" s="8" customFormat="1" x14ac:dyDescent="0.25">
      <c r="A43" s="140"/>
      <c r="B43" s="140"/>
      <c r="C43" s="190" t="s">
        <v>21</v>
      </c>
      <c r="D43" s="35" t="s">
        <v>162</v>
      </c>
      <c r="E43" s="35">
        <v>1</v>
      </c>
      <c r="F43" s="46" t="s">
        <v>1514</v>
      </c>
      <c r="G43" s="75">
        <v>2</v>
      </c>
      <c r="H43" s="76" t="s">
        <v>14</v>
      </c>
      <c r="I43" s="51">
        <v>50</v>
      </c>
      <c r="J43" s="51">
        <v>50</v>
      </c>
      <c r="K43" s="82"/>
      <c r="L43" s="82"/>
      <c r="M43" s="82"/>
      <c r="N43" s="36" t="s">
        <v>182</v>
      </c>
    </row>
    <row r="44" spans="1:14" s="8" customFormat="1" ht="20.399999999999999" x14ac:dyDescent="0.25">
      <c r="A44" s="140" t="s">
        <v>1478</v>
      </c>
      <c r="B44" s="140" t="s">
        <v>161</v>
      </c>
      <c r="C44" s="190" t="s">
        <v>21</v>
      </c>
      <c r="D44" s="35" t="s">
        <v>162</v>
      </c>
      <c r="E44" s="35">
        <v>1</v>
      </c>
      <c r="F44" s="46" t="s">
        <v>1515</v>
      </c>
      <c r="G44" s="75">
        <v>2</v>
      </c>
      <c r="H44" s="76" t="s">
        <v>14</v>
      </c>
      <c r="I44" s="51">
        <v>10.5</v>
      </c>
      <c r="J44" s="51">
        <v>10.5</v>
      </c>
      <c r="K44" s="82"/>
      <c r="L44" s="82"/>
      <c r="M44" s="82"/>
      <c r="N44" s="36" t="s">
        <v>125</v>
      </c>
    </row>
    <row r="45" spans="1:14" s="8" customFormat="1" ht="20.399999999999999" x14ac:dyDescent="0.25">
      <c r="A45" s="140" t="s">
        <v>1478</v>
      </c>
      <c r="B45" s="140" t="s">
        <v>161</v>
      </c>
      <c r="C45" s="190" t="s">
        <v>21</v>
      </c>
      <c r="D45" s="35" t="s">
        <v>162</v>
      </c>
      <c r="E45" s="35">
        <v>1</v>
      </c>
      <c r="F45" s="46" t="s">
        <v>1516</v>
      </c>
      <c r="G45" s="75">
        <v>2</v>
      </c>
      <c r="H45" s="76" t="s">
        <v>14</v>
      </c>
      <c r="I45" s="51">
        <v>14.7</v>
      </c>
      <c r="J45" s="51">
        <v>14.7</v>
      </c>
      <c r="K45" s="82"/>
      <c r="L45" s="82"/>
      <c r="M45" s="82"/>
      <c r="N45" s="36" t="s">
        <v>125</v>
      </c>
    </row>
    <row r="46" spans="1:14" s="8" customFormat="1" ht="20.399999999999999" x14ac:dyDescent="0.25">
      <c r="A46" s="140" t="s">
        <v>1478</v>
      </c>
      <c r="B46" s="140" t="s">
        <v>161</v>
      </c>
      <c r="C46" s="190" t="s">
        <v>21</v>
      </c>
      <c r="D46" s="35" t="s">
        <v>162</v>
      </c>
      <c r="E46" s="35">
        <v>1</v>
      </c>
      <c r="F46" s="46" t="s">
        <v>1517</v>
      </c>
      <c r="G46" s="75">
        <v>4</v>
      </c>
      <c r="H46" s="76" t="s">
        <v>14</v>
      </c>
      <c r="I46" s="51">
        <v>16</v>
      </c>
      <c r="J46" s="51">
        <v>16</v>
      </c>
      <c r="K46" s="82"/>
      <c r="L46" s="82"/>
      <c r="M46" s="82"/>
      <c r="N46" s="36" t="s">
        <v>125</v>
      </c>
    </row>
    <row r="47" spans="1:14" s="8" customFormat="1" ht="20.399999999999999" x14ac:dyDescent="0.25">
      <c r="A47" s="140" t="s">
        <v>1478</v>
      </c>
      <c r="B47" s="140" t="s">
        <v>161</v>
      </c>
      <c r="C47" s="190" t="s">
        <v>21</v>
      </c>
      <c r="D47" s="35" t="s">
        <v>162</v>
      </c>
      <c r="E47" s="35">
        <v>1</v>
      </c>
      <c r="F47" s="46" t="s">
        <v>1518</v>
      </c>
      <c r="G47" s="75">
        <v>2</v>
      </c>
      <c r="H47" s="76" t="s">
        <v>14</v>
      </c>
      <c r="I47" s="51">
        <v>23</v>
      </c>
      <c r="J47" s="51">
        <v>23</v>
      </c>
      <c r="K47" s="82"/>
      <c r="L47" s="82"/>
      <c r="M47" s="82"/>
      <c r="N47" s="36" t="s">
        <v>182</v>
      </c>
    </row>
    <row r="48" spans="1:14" s="8" customFormat="1" ht="20.399999999999999" x14ac:dyDescent="0.25">
      <c r="A48" s="140" t="s">
        <v>1478</v>
      </c>
      <c r="B48" s="140" t="s">
        <v>161</v>
      </c>
      <c r="C48" s="190" t="s">
        <v>21</v>
      </c>
      <c r="D48" s="35" t="s">
        <v>162</v>
      </c>
      <c r="E48" s="35">
        <v>1</v>
      </c>
      <c r="F48" s="46" t="s">
        <v>1519</v>
      </c>
      <c r="G48" s="75">
        <v>2</v>
      </c>
      <c r="H48" s="76" t="s">
        <v>14</v>
      </c>
      <c r="I48" s="51">
        <v>4.2</v>
      </c>
      <c r="J48" s="51">
        <v>4.2</v>
      </c>
      <c r="K48" s="82"/>
      <c r="L48" s="82"/>
      <c r="M48" s="82"/>
      <c r="N48" s="36" t="s">
        <v>182</v>
      </c>
    </row>
    <row r="49" spans="1:14" s="8" customFormat="1" ht="20.399999999999999" x14ac:dyDescent="0.25">
      <c r="A49" s="140" t="s">
        <v>1478</v>
      </c>
      <c r="B49" s="140" t="s">
        <v>161</v>
      </c>
      <c r="C49" s="190" t="s">
        <v>21</v>
      </c>
      <c r="D49" s="35" t="s">
        <v>162</v>
      </c>
      <c r="E49" s="35">
        <v>1</v>
      </c>
      <c r="F49" s="46" t="s">
        <v>1520</v>
      </c>
      <c r="G49" s="75">
        <v>2</v>
      </c>
      <c r="H49" s="76" t="s">
        <v>14</v>
      </c>
      <c r="I49" s="51">
        <v>11.4</v>
      </c>
      <c r="J49" s="51">
        <v>11.4</v>
      </c>
      <c r="K49" s="82"/>
      <c r="L49" s="82"/>
      <c r="M49" s="82"/>
      <c r="N49" s="36" t="s">
        <v>182</v>
      </c>
    </row>
    <row r="50" spans="1:14" s="8" customFormat="1" ht="20.399999999999999" x14ac:dyDescent="0.25">
      <c r="A50" s="140" t="s">
        <v>1478</v>
      </c>
      <c r="B50" s="140" t="s">
        <v>161</v>
      </c>
      <c r="C50" s="190" t="s">
        <v>21</v>
      </c>
      <c r="D50" s="35" t="s">
        <v>162</v>
      </c>
      <c r="E50" s="35">
        <v>1</v>
      </c>
      <c r="F50" s="46" t="s">
        <v>1521</v>
      </c>
      <c r="G50" s="75">
        <v>2</v>
      </c>
      <c r="H50" s="76" t="s">
        <v>14</v>
      </c>
      <c r="I50" s="51">
        <v>35.200000000000003</v>
      </c>
      <c r="J50" s="51">
        <v>35.200000000000003</v>
      </c>
      <c r="K50" s="82"/>
      <c r="L50" s="82"/>
      <c r="M50" s="82"/>
      <c r="N50" s="36" t="s">
        <v>182</v>
      </c>
    </row>
    <row r="51" spans="1:14" s="8" customFormat="1" ht="20.399999999999999" x14ac:dyDescent="0.25">
      <c r="A51" s="140" t="s">
        <v>1478</v>
      </c>
      <c r="B51" s="140" t="s">
        <v>161</v>
      </c>
      <c r="C51" s="190" t="s">
        <v>21</v>
      </c>
      <c r="D51" s="35" t="s">
        <v>162</v>
      </c>
      <c r="E51" s="35">
        <v>1</v>
      </c>
      <c r="F51" s="46" t="s">
        <v>1522</v>
      </c>
      <c r="G51" s="75">
        <v>2</v>
      </c>
      <c r="H51" s="76" t="s">
        <v>14</v>
      </c>
      <c r="I51" s="51">
        <v>17.399999999999999</v>
      </c>
      <c r="J51" s="51">
        <v>17.399999999999999</v>
      </c>
      <c r="K51" s="82"/>
      <c r="L51" s="82"/>
      <c r="M51" s="82"/>
      <c r="N51" s="36" t="s">
        <v>182</v>
      </c>
    </row>
    <row r="52" spans="1:14" s="8" customFormat="1" ht="20.399999999999999" x14ac:dyDescent="0.25">
      <c r="A52" s="140" t="s">
        <v>1478</v>
      </c>
      <c r="B52" s="140" t="s">
        <v>161</v>
      </c>
      <c r="C52" s="190" t="s">
        <v>21</v>
      </c>
      <c r="D52" s="35" t="s">
        <v>162</v>
      </c>
      <c r="E52" s="35">
        <v>1</v>
      </c>
      <c r="F52" s="46" t="s">
        <v>1523</v>
      </c>
      <c r="G52" s="75">
        <v>2</v>
      </c>
      <c r="H52" s="76" t="s">
        <v>14</v>
      </c>
      <c r="I52" s="51">
        <v>128</v>
      </c>
      <c r="J52" s="51">
        <v>128</v>
      </c>
      <c r="K52" s="82"/>
      <c r="L52" s="82"/>
      <c r="M52" s="82"/>
      <c r="N52" s="36" t="s">
        <v>182</v>
      </c>
    </row>
    <row r="53" spans="1:14" s="8" customFormat="1" ht="20.399999999999999" x14ac:dyDescent="0.25">
      <c r="A53" s="140" t="s">
        <v>1478</v>
      </c>
      <c r="B53" s="140" t="s">
        <v>161</v>
      </c>
      <c r="C53" s="190" t="s">
        <v>21</v>
      </c>
      <c r="D53" s="35" t="s">
        <v>162</v>
      </c>
      <c r="E53" s="35">
        <v>1</v>
      </c>
      <c r="F53" s="46" t="s">
        <v>1524</v>
      </c>
      <c r="G53" s="75">
        <v>1</v>
      </c>
      <c r="H53" s="76" t="s">
        <v>14</v>
      </c>
      <c r="I53" s="51">
        <v>23</v>
      </c>
      <c r="J53" s="51">
        <v>23</v>
      </c>
      <c r="K53" s="82"/>
      <c r="L53" s="82"/>
      <c r="M53" s="82"/>
      <c r="N53" s="36" t="s">
        <v>182</v>
      </c>
    </row>
    <row r="54" spans="1:14" s="8" customFormat="1" ht="26.4" x14ac:dyDescent="0.25">
      <c r="A54" s="140" t="s">
        <v>1478</v>
      </c>
      <c r="B54" s="140" t="s">
        <v>161</v>
      </c>
      <c r="C54" s="190" t="s">
        <v>21</v>
      </c>
      <c r="D54" s="35" t="s">
        <v>162</v>
      </c>
      <c r="E54" s="35">
        <v>1</v>
      </c>
      <c r="F54" s="46" t="s">
        <v>1525</v>
      </c>
      <c r="G54" s="75">
        <v>1</v>
      </c>
      <c r="H54" s="76" t="s">
        <v>14</v>
      </c>
      <c r="I54" s="51">
        <v>106</v>
      </c>
      <c r="J54" s="51">
        <v>106</v>
      </c>
      <c r="K54" s="82"/>
      <c r="L54" s="82"/>
      <c r="M54" s="82"/>
      <c r="N54" s="36" t="s">
        <v>182</v>
      </c>
    </row>
    <row r="55" spans="1:14" s="8" customFormat="1" ht="26.4" x14ac:dyDescent="0.25">
      <c r="A55" s="140" t="s">
        <v>1478</v>
      </c>
      <c r="B55" s="140" t="s">
        <v>161</v>
      </c>
      <c r="C55" s="190" t="s">
        <v>21</v>
      </c>
      <c r="D55" s="35" t="s">
        <v>162</v>
      </c>
      <c r="E55" s="35">
        <v>1</v>
      </c>
      <c r="F55" s="46" t="s">
        <v>1526</v>
      </c>
      <c r="G55" s="75">
        <v>1</v>
      </c>
      <c r="H55" s="76" t="s">
        <v>14</v>
      </c>
      <c r="I55" s="51">
        <v>108</v>
      </c>
      <c r="J55" s="51">
        <v>108</v>
      </c>
      <c r="K55" s="82"/>
      <c r="L55" s="82"/>
      <c r="M55" s="82"/>
      <c r="N55" s="36" t="s">
        <v>182</v>
      </c>
    </row>
    <row r="56" spans="1:14" s="8" customFormat="1" ht="20.399999999999999" x14ac:dyDescent="0.25">
      <c r="A56" s="140" t="s">
        <v>1478</v>
      </c>
      <c r="B56" s="140" t="s">
        <v>161</v>
      </c>
      <c r="C56" s="190" t="s">
        <v>21</v>
      </c>
      <c r="D56" s="35" t="s">
        <v>162</v>
      </c>
      <c r="E56" s="35">
        <v>1</v>
      </c>
      <c r="F56" s="46" t="s">
        <v>1527</v>
      </c>
      <c r="G56" s="75">
        <v>1</v>
      </c>
      <c r="H56" s="76" t="s">
        <v>14</v>
      </c>
      <c r="I56" s="51">
        <v>142.6</v>
      </c>
      <c r="J56" s="51">
        <v>142.6</v>
      </c>
      <c r="K56" s="82"/>
      <c r="L56" s="82"/>
      <c r="M56" s="82"/>
      <c r="N56" s="36" t="s">
        <v>182</v>
      </c>
    </row>
    <row r="57" spans="1:14" s="8" customFormat="1" ht="20.399999999999999" x14ac:dyDescent="0.25">
      <c r="A57" s="140" t="s">
        <v>1478</v>
      </c>
      <c r="B57" s="140" t="s">
        <v>161</v>
      </c>
      <c r="C57" s="190" t="s">
        <v>21</v>
      </c>
      <c r="D57" s="35" t="s">
        <v>162</v>
      </c>
      <c r="E57" s="35">
        <v>1</v>
      </c>
      <c r="F57" s="46" t="s">
        <v>1528</v>
      </c>
      <c r="G57" s="75">
        <v>1</v>
      </c>
      <c r="H57" s="76" t="s">
        <v>14</v>
      </c>
      <c r="I57" s="51">
        <v>76.400000000000006</v>
      </c>
      <c r="J57" s="51">
        <v>76.400000000000006</v>
      </c>
      <c r="K57" s="82"/>
      <c r="L57" s="82"/>
      <c r="M57" s="82"/>
      <c r="N57" s="36" t="s">
        <v>182</v>
      </c>
    </row>
    <row r="58" spans="1:14" s="8" customFormat="1" ht="20.399999999999999" x14ac:dyDescent="0.25">
      <c r="A58" s="140" t="s">
        <v>1478</v>
      </c>
      <c r="B58" s="140" t="s">
        <v>161</v>
      </c>
      <c r="C58" s="190" t="s">
        <v>21</v>
      </c>
      <c r="D58" s="35" t="s">
        <v>162</v>
      </c>
      <c r="E58" s="35">
        <v>1</v>
      </c>
      <c r="F58" s="46" t="s">
        <v>1529</v>
      </c>
      <c r="G58" s="75">
        <v>1</v>
      </c>
      <c r="H58" s="76" t="s">
        <v>14</v>
      </c>
      <c r="I58" s="51">
        <v>99</v>
      </c>
      <c r="J58" s="51">
        <v>99</v>
      </c>
      <c r="K58" s="82"/>
      <c r="L58" s="82"/>
      <c r="M58" s="82"/>
      <c r="N58" s="36" t="s">
        <v>182</v>
      </c>
    </row>
    <row r="59" spans="1:14" s="8" customFormat="1" ht="20.399999999999999" x14ac:dyDescent="0.25">
      <c r="A59" s="140" t="s">
        <v>1478</v>
      </c>
      <c r="B59" s="140" t="s">
        <v>161</v>
      </c>
      <c r="C59" s="190" t="s">
        <v>21</v>
      </c>
      <c r="D59" s="35" t="s">
        <v>162</v>
      </c>
      <c r="E59" s="35">
        <v>1</v>
      </c>
      <c r="F59" s="46" t="s">
        <v>1530</v>
      </c>
      <c r="G59" s="75">
        <v>1</v>
      </c>
      <c r="H59" s="76" t="s">
        <v>14</v>
      </c>
      <c r="I59" s="51">
        <v>106.8</v>
      </c>
      <c r="J59" s="51">
        <v>106.8</v>
      </c>
      <c r="K59" s="82"/>
      <c r="L59" s="82"/>
      <c r="M59" s="82"/>
      <c r="N59" s="36" t="s">
        <v>182</v>
      </c>
    </row>
    <row r="60" spans="1:14" s="8" customFormat="1" ht="20.399999999999999" x14ac:dyDescent="0.25">
      <c r="A60" s="140" t="s">
        <v>1478</v>
      </c>
      <c r="B60" s="140" t="s">
        <v>161</v>
      </c>
      <c r="C60" s="190" t="s">
        <v>21</v>
      </c>
      <c r="D60" s="35" t="s">
        <v>162</v>
      </c>
      <c r="E60" s="35">
        <v>1</v>
      </c>
      <c r="F60" s="46" t="s">
        <v>1531</v>
      </c>
      <c r="G60" s="231">
        <v>1</v>
      </c>
      <c r="H60" s="146" t="s">
        <v>14</v>
      </c>
      <c r="I60" s="51">
        <v>115.1</v>
      </c>
      <c r="J60" s="51">
        <v>115.1</v>
      </c>
      <c r="K60" s="82"/>
      <c r="L60" s="82"/>
      <c r="M60" s="82"/>
      <c r="N60" s="36" t="s">
        <v>182</v>
      </c>
    </row>
    <row r="61" spans="1:14" s="8" customFormat="1" ht="20.399999999999999" x14ac:dyDescent="0.25">
      <c r="A61" s="140" t="s">
        <v>1478</v>
      </c>
      <c r="B61" s="140" t="s">
        <v>161</v>
      </c>
      <c r="C61" s="190" t="s">
        <v>21</v>
      </c>
      <c r="D61" s="35" t="s">
        <v>162</v>
      </c>
      <c r="E61" s="35">
        <v>1</v>
      </c>
      <c r="F61" s="46" t="s">
        <v>1532</v>
      </c>
      <c r="G61" s="75">
        <v>1</v>
      </c>
      <c r="H61" s="76" t="s">
        <v>14</v>
      </c>
      <c r="I61" s="51">
        <v>168</v>
      </c>
      <c r="J61" s="51">
        <v>168</v>
      </c>
      <c r="K61" s="82"/>
      <c r="L61" s="82"/>
      <c r="M61" s="82"/>
      <c r="N61" s="36" t="s">
        <v>182</v>
      </c>
    </row>
    <row r="62" spans="1:14" s="8" customFormat="1" ht="20.399999999999999" x14ac:dyDescent="0.25">
      <c r="A62" s="140" t="s">
        <v>1478</v>
      </c>
      <c r="B62" s="140" t="s">
        <v>161</v>
      </c>
      <c r="C62" s="190" t="s">
        <v>21</v>
      </c>
      <c r="D62" s="35" t="s">
        <v>162</v>
      </c>
      <c r="E62" s="35">
        <v>1</v>
      </c>
      <c r="F62" s="46" t="s">
        <v>1533</v>
      </c>
      <c r="G62" s="75">
        <v>1</v>
      </c>
      <c r="H62" s="76" t="s">
        <v>14</v>
      </c>
      <c r="I62" s="51">
        <v>72.7</v>
      </c>
      <c r="J62" s="51">
        <v>72.7</v>
      </c>
      <c r="K62" s="82"/>
      <c r="L62" s="82"/>
      <c r="M62" s="82"/>
      <c r="N62" s="36" t="s">
        <v>182</v>
      </c>
    </row>
    <row r="63" spans="1:14" s="8" customFormat="1" ht="20.399999999999999" x14ac:dyDescent="0.25">
      <c r="A63" s="140" t="s">
        <v>1478</v>
      </c>
      <c r="B63" s="140" t="s">
        <v>161</v>
      </c>
      <c r="C63" s="190" t="s">
        <v>21</v>
      </c>
      <c r="D63" s="35" t="s">
        <v>162</v>
      </c>
      <c r="E63" s="35">
        <v>1</v>
      </c>
      <c r="F63" s="46" t="s">
        <v>1534</v>
      </c>
      <c r="G63" s="75">
        <v>1</v>
      </c>
      <c r="H63" s="76" t="s">
        <v>14</v>
      </c>
      <c r="I63" s="51">
        <v>77</v>
      </c>
      <c r="J63" s="51">
        <v>77</v>
      </c>
      <c r="K63" s="82"/>
      <c r="L63" s="82"/>
      <c r="M63" s="82"/>
      <c r="N63" s="36" t="s">
        <v>182</v>
      </c>
    </row>
    <row r="64" spans="1:14" s="8" customFormat="1" ht="20.399999999999999" x14ac:dyDescent="0.25">
      <c r="A64" s="140" t="s">
        <v>1478</v>
      </c>
      <c r="B64" s="140" t="s">
        <v>161</v>
      </c>
      <c r="C64" s="190" t="s">
        <v>21</v>
      </c>
      <c r="D64" s="35" t="s">
        <v>162</v>
      </c>
      <c r="E64" s="35">
        <v>1</v>
      </c>
      <c r="F64" s="46" t="s">
        <v>1535</v>
      </c>
      <c r="G64" s="75">
        <v>1</v>
      </c>
      <c r="H64" s="76" t="s">
        <v>14</v>
      </c>
      <c r="I64" s="51">
        <v>72.5</v>
      </c>
      <c r="J64" s="51">
        <v>72.5</v>
      </c>
      <c r="K64" s="82"/>
      <c r="L64" s="82"/>
      <c r="M64" s="82"/>
      <c r="N64" s="36" t="s">
        <v>182</v>
      </c>
    </row>
    <row r="65" spans="1:14" s="8" customFormat="1" ht="20.399999999999999" x14ac:dyDescent="0.25">
      <c r="A65" s="140" t="s">
        <v>1478</v>
      </c>
      <c r="B65" s="140" t="s">
        <v>161</v>
      </c>
      <c r="C65" s="190" t="s">
        <v>21</v>
      </c>
      <c r="D65" s="35" t="s">
        <v>162</v>
      </c>
      <c r="E65" s="35">
        <v>1</v>
      </c>
      <c r="F65" s="46" t="s">
        <v>1536</v>
      </c>
      <c r="G65" s="75">
        <v>1</v>
      </c>
      <c r="H65" s="76" t="s">
        <v>14</v>
      </c>
      <c r="I65" s="51">
        <v>124.7</v>
      </c>
      <c r="J65" s="51">
        <v>124.7</v>
      </c>
      <c r="K65" s="82"/>
      <c r="L65" s="82"/>
      <c r="M65" s="82"/>
      <c r="N65" s="36" t="s">
        <v>182</v>
      </c>
    </row>
    <row r="66" spans="1:14" s="8" customFormat="1" ht="20.399999999999999" x14ac:dyDescent="0.25">
      <c r="A66" s="140" t="s">
        <v>1478</v>
      </c>
      <c r="B66" s="140" t="s">
        <v>161</v>
      </c>
      <c r="C66" s="190" t="s">
        <v>21</v>
      </c>
      <c r="D66" s="35" t="s">
        <v>162</v>
      </c>
      <c r="E66" s="35">
        <v>1</v>
      </c>
      <c r="F66" s="46" t="s">
        <v>1537</v>
      </c>
      <c r="G66" s="75">
        <v>1</v>
      </c>
      <c r="H66" s="76" t="s">
        <v>14</v>
      </c>
      <c r="I66" s="51">
        <v>84.4</v>
      </c>
      <c r="J66" s="51">
        <v>84.4</v>
      </c>
      <c r="K66" s="82"/>
      <c r="L66" s="82"/>
      <c r="M66" s="82"/>
      <c r="N66" s="36" t="s">
        <v>182</v>
      </c>
    </row>
    <row r="67" spans="1:14" s="8" customFormat="1" ht="20.399999999999999" x14ac:dyDescent="0.25">
      <c r="A67" s="140" t="s">
        <v>1478</v>
      </c>
      <c r="B67" s="140" t="s">
        <v>161</v>
      </c>
      <c r="C67" s="190" t="s">
        <v>21</v>
      </c>
      <c r="D67" s="35" t="s">
        <v>162</v>
      </c>
      <c r="E67" s="35">
        <v>1</v>
      </c>
      <c r="F67" s="46" t="s">
        <v>1538</v>
      </c>
      <c r="G67" s="75">
        <v>1</v>
      </c>
      <c r="H67" s="76" t="s">
        <v>396</v>
      </c>
      <c r="I67" s="51">
        <v>16.3</v>
      </c>
      <c r="J67" s="51">
        <v>16.3</v>
      </c>
      <c r="K67" s="82"/>
      <c r="L67" s="82"/>
      <c r="M67" s="82"/>
      <c r="N67" s="36" t="s">
        <v>182</v>
      </c>
    </row>
    <row r="68" spans="1:14" s="8" customFormat="1" ht="20.399999999999999" x14ac:dyDescent="0.25">
      <c r="A68" s="140" t="s">
        <v>1478</v>
      </c>
      <c r="B68" s="140" t="s">
        <v>161</v>
      </c>
      <c r="C68" s="190" t="s">
        <v>21</v>
      </c>
      <c r="D68" s="35" t="s">
        <v>162</v>
      </c>
      <c r="E68" s="35">
        <v>1</v>
      </c>
      <c r="F68" s="46" t="s">
        <v>1539</v>
      </c>
      <c r="G68" s="75">
        <v>4</v>
      </c>
      <c r="H68" s="76" t="s">
        <v>14</v>
      </c>
      <c r="I68" s="51">
        <v>2</v>
      </c>
      <c r="J68" s="51">
        <v>2</v>
      </c>
      <c r="K68" s="82"/>
      <c r="L68" s="82"/>
      <c r="M68" s="82"/>
      <c r="N68" s="36" t="s">
        <v>182</v>
      </c>
    </row>
    <row r="69" spans="1:14" s="8" customFormat="1" ht="20.399999999999999" x14ac:dyDescent="0.25">
      <c r="A69" s="140" t="s">
        <v>1478</v>
      </c>
      <c r="B69" s="140" t="s">
        <v>161</v>
      </c>
      <c r="C69" s="190" t="s">
        <v>21</v>
      </c>
      <c r="D69" s="35" t="s">
        <v>162</v>
      </c>
      <c r="E69" s="35">
        <v>1</v>
      </c>
      <c r="F69" s="46" t="s">
        <v>1540</v>
      </c>
      <c r="G69" s="75">
        <v>1</v>
      </c>
      <c r="H69" s="76" t="s">
        <v>14</v>
      </c>
      <c r="I69" s="51">
        <v>160</v>
      </c>
      <c r="J69" s="51">
        <v>160</v>
      </c>
      <c r="K69" s="82"/>
      <c r="L69" s="82"/>
      <c r="M69" s="82"/>
      <c r="N69" s="36" t="s">
        <v>182</v>
      </c>
    </row>
    <row r="70" spans="1:14" s="8" customFormat="1" ht="26.4" x14ac:dyDescent="0.25">
      <c r="A70" s="140" t="s">
        <v>1478</v>
      </c>
      <c r="B70" s="140" t="s">
        <v>161</v>
      </c>
      <c r="C70" s="190" t="s">
        <v>21</v>
      </c>
      <c r="D70" s="35" t="s">
        <v>162</v>
      </c>
      <c r="E70" s="35">
        <v>1</v>
      </c>
      <c r="F70" s="46" t="s">
        <v>1541</v>
      </c>
      <c r="G70" s="75">
        <v>1</v>
      </c>
      <c r="H70" s="76" t="s">
        <v>14</v>
      </c>
      <c r="I70" s="51">
        <v>2811</v>
      </c>
      <c r="J70" s="51">
        <v>2811</v>
      </c>
      <c r="K70" s="82"/>
      <c r="L70" s="82"/>
      <c r="M70" s="82"/>
      <c r="N70" s="36" t="s">
        <v>182</v>
      </c>
    </row>
    <row r="71" spans="1:14" s="8" customFormat="1" ht="20.399999999999999" x14ac:dyDescent="0.25">
      <c r="A71" s="140" t="s">
        <v>1478</v>
      </c>
      <c r="B71" s="140" t="s">
        <v>183</v>
      </c>
      <c r="C71" s="190" t="s">
        <v>21</v>
      </c>
      <c r="D71" s="35" t="s">
        <v>162</v>
      </c>
      <c r="E71" s="35">
        <v>1</v>
      </c>
      <c r="F71" s="46" t="s">
        <v>1542</v>
      </c>
      <c r="G71" s="75">
        <v>1</v>
      </c>
      <c r="H71" s="76" t="s">
        <v>14</v>
      </c>
      <c r="I71" s="51">
        <v>2865</v>
      </c>
      <c r="J71" s="51">
        <v>2865</v>
      </c>
      <c r="K71" s="82"/>
      <c r="L71" s="82"/>
      <c r="M71" s="82"/>
      <c r="N71" s="36" t="s">
        <v>182</v>
      </c>
    </row>
    <row r="72" spans="1:14" s="8" customFormat="1" ht="20.399999999999999" x14ac:dyDescent="0.25">
      <c r="A72" s="140" t="s">
        <v>1478</v>
      </c>
      <c r="B72" s="140" t="s">
        <v>161</v>
      </c>
      <c r="C72" s="190" t="s">
        <v>21</v>
      </c>
      <c r="D72" s="35" t="s">
        <v>162</v>
      </c>
      <c r="E72" s="35">
        <v>1</v>
      </c>
      <c r="F72" s="46" t="s">
        <v>1543</v>
      </c>
      <c r="G72" s="75">
        <v>1</v>
      </c>
      <c r="H72" s="76" t="s">
        <v>14</v>
      </c>
      <c r="I72" s="51">
        <v>469</v>
      </c>
      <c r="J72" s="51">
        <v>469</v>
      </c>
      <c r="K72" s="82"/>
      <c r="L72" s="82"/>
      <c r="M72" s="82"/>
      <c r="N72" s="36" t="s">
        <v>182</v>
      </c>
    </row>
    <row r="73" spans="1:14" s="8" customFormat="1" ht="26.4" x14ac:dyDescent="0.25">
      <c r="A73" s="140" t="s">
        <v>1478</v>
      </c>
      <c r="B73" s="140" t="s">
        <v>446</v>
      </c>
      <c r="C73" s="190" t="s">
        <v>21</v>
      </c>
      <c r="D73" s="35" t="s">
        <v>162</v>
      </c>
      <c r="E73" s="35">
        <v>1</v>
      </c>
      <c r="F73" s="46" t="s">
        <v>1544</v>
      </c>
      <c r="G73" s="75">
        <v>1</v>
      </c>
      <c r="H73" s="76" t="s">
        <v>396</v>
      </c>
      <c r="I73" s="51">
        <v>3005</v>
      </c>
      <c r="J73" s="51">
        <v>3005</v>
      </c>
      <c r="K73" s="82"/>
      <c r="L73" s="82"/>
      <c r="M73" s="82"/>
      <c r="N73" s="36"/>
    </row>
    <row r="74" spans="1:14" s="8" customFormat="1" ht="20.399999999999999" x14ac:dyDescent="0.25">
      <c r="A74" s="140" t="s">
        <v>1478</v>
      </c>
      <c r="B74" s="140" t="s">
        <v>161</v>
      </c>
      <c r="C74" s="190" t="s">
        <v>21</v>
      </c>
      <c r="D74" s="35" t="s">
        <v>162</v>
      </c>
      <c r="E74" s="35">
        <v>1</v>
      </c>
      <c r="F74" s="46" t="s">
        <v>1545</v>
      </c>
      <c r="G74" s="75">
        <v>1</v>
      </c>
      <c r="H74" s="76" t="s">
        <v>14</v>
      </c>
      <c r="I74" s="51">
        <v>678</v>
      </c>
      <c r="J74" s="51">
        <v>678</v>
      </c>
      <c r="K74" s="82"/>
      <c r="L74" s="82"/>
      <c r="M74" s="82"/>
      <c r="N74" s="36" t="s">
        <v>182</v>
      </c>
    </row>
    <row r="75" spans="1:14" s="8" customFormat="1" ht="20.399999999999999" x14ac:dyDescent="0.25">
      <c r="A75" s="140" t="s">
        <v>1478</v>
      </c>
      <c r="B75" s="140" t="s">
        <v>183</v>
      </c>
      <c r="C75" s="190" t="s">
        <v>21</v>
      </c>
      <c r="D75" s="35" t="s">
        <v>162</v>
      </c>
      <c r="E75" s="35">
        <v>1</v>
      </c>
      <c r="F75" s="46" t="s">
        <v>1546</v>
      </c>
      <c r="G75" s="75">
        <v>1</v>
      </c>
      <c r="H75" s="76" t="s">
        <v>14</v>
      </c>
      <c r="I75" s="51">
        <v>684</v>
      </c>
      <c r="J75" s="51">
        <v>684</v>
      </c>
      <c r="K75" s="82"/>
      <c r="L75" s="82"/>
      <c r="M75" s="82"/>
      <c r="N75" s="36" t="s">
        <v>182</v>
      </c>
    </row>
    <row r="76" spans="1:14" s="8" customFormat="1" x14ac:dyDescent="0.25">
      <c r="A76" s="111"/>
      <c r="B76" s="111"/>
      <c r="C76" s="201"/>
      <c r="D76" s="29"/>
      <c r="E76" s="29"/>
      <c r="F76" s="58"/>
      <c r="G76" s="155"/>
      <c r="H76" s="71"/>
      <c r="I76" s="64"/>
      <c r="J76" s="64"/>
      <c r="K76" s="86"/>
      <c r="L76" s="86"/>
      <c r="M76" s="86"/>
      <c r="N76" s="98"/>
    </row>
    <row r="77" spans="1:14" s="8" customFormat="1" ht="39.6" x14ac:dyDescent="0.25">
      <c r="A77" s="140" t="s">
        <v>1478</v>
      </c>
      <c r="B77" s="140" t="s">
        <v>531</v>
      </c>
      <c r="C77" s="190" t="s">
        <v>21</v>
      </c>
      <c r="D77" s="35" t="s">
        <v>530</v>
      </c>
      <c r="E77" s="35">
        <v>1</v>
      </c>
      <c r="F77" s="46" t="s">
        <v>1547</v>
      </c>
      <c r="G77" s="128">
        <v>1</v>
      </c>
      <c r="H77" s="129" t="s">
        <v>14</v>
      </c>
      <c r="I77" s="51">
        <v>25800</v>
      </c>
      <c r="J77" s="51">
        <v>25800</v>
      </c>
      <c r="K77" s="82">
        <v>7.78</v>
      </c>
      <c r="L77" s="82">
        <v>1.44</v>
      </c>
      <c r="M77" s="82">
        <v>1.98</v>
      </c>
      <c r="N77" s="38" t="s">
        <v>452</v>
      </c>
    </row>
    <row r="78" spans="1:14" s="8" customFormat="1" ht="26.4" x14ac:dyDescent="0.25">
      <c r="A78" s="140" t="s">
        <v>1478</v>
      </c>
      <c r="B78" s="140" t="s">
        <v>531</v>
      </c>
      <c r="C78" s="190" t="s">
        <v>21</v>
      </c>
      <c r="D78" s="35"/>
      <c r="E78" s="35">
        <v>1</v>
      </c>
      <c r="F78" s="46" t="s">
        <v>528</v>
      </c>
      <c r="G78" s="75">
        <v>1</v>
      </c>
      <c r="H78" s="76" t="s">
        <v>14</v>
      </c>
      <c r="I78" s="51">
        <v>2915</v>
      </c>
      <c r="J78" s="51">
        <v>2915</v>
      </c>
      <c r="K78" s="82"/>
      <c r="L78" s="82"/>
      <c r="M78" s="82"/>
      <c r="N78" s="36" t="s">
        <v>529</v>
      </c>
    </row>
    <row r="79" spans="1:14" s="8" customFormat="1" x14ac:dyDescent="0.25">
      <c r="A79" s="140"/>
      <c r="B79" s="140"/>
      <c r="C79" s="190"/>
      <c r="D79" s="35"/>
      <c r="E79" s="35"/>
      <c r="F79" s="46"/>
      <c r="G79" s="75"/>
      <c r="H79" s="76"/>
      <c r="I79" s="51"/>
      <c r="J79" s="51"/>
      <c r="K79" s="82"/>
      <c r="L79" s="82"/>
      <c r="M79" s="82"/>
      <c r="N79" s="36"/>
    </row>
    <row r="80" spans="1:14" s="8" customFormat="1" ht="26.4" x14ac:dyDescent="0.25">
      <c r="A80" s="140" t="s">
        <v>1478</v>
      </c>
      <c r="B80" s="140" t="s">
        <v>747</v>
      </c>
      <c r="C80" s="190" t="s">
        <v>21</v>
      </c>
      <c r="D80" s="35"/>
      <c r="E80" s="35">
        <v>1</v>
      </c>
      <c r="F80" s="46" t="s">
        <v>1548</v>
      </c>
      <c r="G80" s="128">
        <v>1</v>
      </c>
      <c r="H80" s="129" t="s">
        <v>14</v>
      </c>
      <c r="I80" s="51">
        <v>26956</v>
      </c>
      <c r="J80" s="51">
        <v>26956</v>
      </c>
      <c r="K80" s="82">
        <v>7.78</v>
      </c>
      <c r="L80" s="82">
        <v>1.44</v>
      </c>
      <c r="M80" s="82">
        <v>2.82</v>
      </c>
      <c r="N80" s="36" t="s">
        <v>452</v>
      </c>
    </row>
    <row r="81" spans="1:14" s="8" customFormat="1" ht="39.6" x14ac:dyDescent="0.25">
      <c r="A81" s="140" t="s">
        <v>1478</v>
      </c>
      <c r="B81" s="140" t="s">
        <v>747</v>
      </c>
      <c r="C81" s="190" t="s">
        <v>21</v>
      </c>
      <c r="D81" s="35"/>
      <c r="E81" s="35">
        <v>1</v>
      </c>
      <c r="F81" s="46" t="s">
        <v>1549</v>
      </c>
      <c r="G81" s="128">
        <v>1</v>
      </c>
      <c r="H81" s="129" t="s">
        <v>14</v>
      </c>
      <c r="I81" s="51">
        <v>26076</v>
      </c>
      <c r="J81" s="51">
        <v>26076</v>
      </c>
      <c r="K81" s="82">
        <v>7.78</v>
      </c>
      <c r="L81" s="82">
        <v>1.44</v>
      </c>
      <c r="M81" s="82">
        <v>1.98</v>
      </c>
      <c r="N81" s="36" t="s">
        <v>452</v>
      </c>
    </row>
    <row r="82" spans="1:14" s="8" customFormat="1" ht="26.4" x14ac:dyDescent="0.25">
      <c r="A82" s="140" t="s">
        <v>1478</v>
      </c>
      <c r="B82" s="140" t="s">
        <v>747</v>
      </c>
      <c r="C82" s="190" t="s">
        <v>21</v>
      </c>
      <c r="D82" s="35"/>
      <c r="E82" s="35">
        <v>1</v>
      </c>
      <c r="F82" s="46" t="s">
        <v>1550</v>
      </c>
      <c r="G82" s="128">
        <v>1</v>
      </c>
      <c r="H82" s="129" t="s">
        <v>14</v>
      </c>
      <c r="I82" s="51">
        <v>3190</v>
      </c>
      <c r="J82" s="51">
        <v>3190</v>
      </c>
      <c r="K82" s="82">
        <v>2.2000000000000002</v>
      </c>
      <c r="L82" s="82">
        <v>1.25</v>
      </c>
      <c r="M82" s="82">
        <v>1.19</v>
      </c>
      <c r="N82" s="36" t="s">
        <v>85</v>
      </c>
    </row>
    <row r="83" spans="1:14" s="8" customFormat="1" ht="26.4" x14ac:dyDescent="0.25">
      <c r="A83" s="140" t="s">
        <v>1478</v>
      </c>
      <c r="B83" s="140" t="s">
        <v>747</v>
      </c>
      <c r="C83" s="190" t="s">
        <v>18</v>
      </c>
      <c r="D83" s="35"/>
      <c r="E83" s="35">
        <v>1</v>
      </c>
      <c r="F83" s="46" t="s">
        <v>1556</v>
      </c>
      <c r="G83" s="128">
        <v>3</v>
      </c>
      <c r="H83" s="129" t="s">
        <v>14</v>
      </c>
      <c r="I83" s="48">
        <v>105</v>
      </c>
      <c r="J83" s="48">
        <v>130</v>
      </c>
      <c r="K83" s="82">
        <v>2.2999999999999998</v>
      </c>
      <c r="L83" s="82">
        <v>1</v>
      </c>
      <c r="M83" s="82">
        <v>0.79</v>
      </c>
      <c r="N83" s="36" t="s">
        <v>85</v>
      </c>
    </row>
    <row r="84" spans="1:14" s="8" customFormat="1" ht="20.399999999999999" x14ac:dyDescent="0.25">
      <c r="A84" s="140" t="s">
        <v>1478</v>
      </c>
      <c r="B84" s="140" t="s">
        <v>747</v>
      </c>
      <c r="C84" s="190" t="s">
        <v>21</v>
      </c>
      <c r="D84" s="35"/>
      <c r="E84" s="35">
        <v>1</v>
      </c>
      <c r="F84" s="46" t="s">
        <v>1481</v>
      </c>
      <c r="G84" s="128">
        <v>1</v>
      </c>
      <c r="H84" s="129" t="s">
        <v>14</v>
      </c>
      <c r="I84" s="51">
        <v>820</v>
      </c>
      <c r="J84" s="51">
        <v>820</v>
      </c>
      <c r="K84" s="82">
        <v>4.4000000000000004</v>
      </c>
      <c r="L84" s="82">
        <v>1.1000000000000001</v>
      </c>
      <c r="M84" s="82">
        <v>1.56</v>
      </c>
      <c r="N84" s="36" t="s">
        <v>85</v>
      </c>
    </row>
    <row r="85" spans="1:14" s="8" customFormat="1" ht="118.8" x14ac:dyDescent="0.25">
      <c r="A85" s="140" t="s">
        <v>1478</v>
      </c>
      <c r="B85" s="140" t="s">
        <v>747</v>
      </c>
      <c r="C85" s="190" t="s">
        <v>21</v>
      </c>
      <c r="D85" s="35"/>
      <c r="E85" s="35">
        <v>1</v>
      </c>
      <c r="F85" s="46" t="s">
        <v>1551</v>
      </c>
      <c r="G85" s="128">
        <v>39</v>
      </c>
      <c r="H85" s="129" t="s">
        <v>14</v>
      </c>
      <c r="I85" s="48">
        <v>270</v>
      </c>
      <c r="J85" s="48">
        <v>440</v>
      </c>
      <c r="K85" s="82">
        <v>1.45</v>
      </c>
      <c r="L85" s="82">
        <v>0.95</v>
      </c>
      <c r="M85" s="82">
        <v>1.35</v>
      </c>
      <c r="N85" s="36" t="s">
        <v>85</v>
      </c>
    </row>
    <row r="86" spans="1:14" s="8" customFormat="1" ht="125.4" x14ac:dyDescent="0.25">
      <c r="A86" s="140" t="s">
        <v>1478</v>
      </c>
      <c r="B86" s="140" t="s">
        <v>747</v>
      </c>
      <c r="C86" s="190" t="s">
        <v>20</v>
      </c>
      <c r="D86" s="35"/>
      <c r="E86" s="35">
        <v>1</v>
      </c>
      <c r="F86" s="161" t="s">
        <v>1552</v>
      </c>
      <c r="G86" s="128">
        <v>49</v>
      </c>
      <c r="H86" s="129" t="s">
        <v>14</v>
      </c>
      <c r="I86" s="48">
        <v>300</v>
      </c>
      <c r="J86" s="48">
        <v>345</v>
      </c>
      <c r="K86" s="82">
        <v>1.25</v>
      </c>
      <c r="L86" s="82">
        <v>0.95</v>
      </c>
      <c r="M86" s="82">
        <v>0.7</v>
      </c>
      <c r="N86" s="36" t="s">
        <v>85</v>
      </c>
    </row>
    <row r="87" spans="1:14" s="8" customFormat="1" ht="20.399999999999999" x14ac:dyDescent="0.25">
      <c r="A87" s="140" t="s">
        <v>1478</v>
      </c>
      <c r="B87" s="140" t="s">
        <v>771</v>
      </c>
      <c r="C87" s="190" t="s">
        <v>21</v>
      </c>
      <c r="D87" s="35"/>
      <c r="E87" s="35">
        <v>1</v>
      </c>
      <c r="F87" s="46" t="s">
        <v>1553</v>
      </c>
      <c r="G87" s="128">
        <v>1</v>
      </c>
      <c r="H87" s="129" t="s">
        <v>14</v>
      </c>
      <c r="I87" s="48">
        <v>8050</v>
      </c>
      <c r="J87" s="48">
        <v>8050</v>
      </c>
      <c r="K87" s="82"/>
      <c r="L87" s="82"/>
      <c r="M87" s="82"/>
      <c r="N87" s="36" t="s">
        <v>85</v>
      </c>
    </row>
    <row r="88" spans="1:14" s="8" customFormat="1" ht="26.4" x14ac:dyDescent="0.25">
      <c r="A88" s="140" t="s">
        <v>1478</v>
      </c>
      <c r="B88" s="140" t="s">
        <v>771</v>
      </c>
      <c r="C88" s="190" t="s">
        <v>21</v>
      </c>
      <c r="D88" s="35"/>
      <c r="E88" s="35">
        <v>1</v>
      </c>
      <c r="F88" s="46" t="s">
        <v>1554</v>
      </c>
      <c r="G88" s="128">
        <v>1</v>
      </c>
      <c r="H88" s="129" t="s">
        <v>14</v>
      </c>
      <c r="I88" s="51">
        <v>26300</v>
      </c>
      <c r="J88" s="51">
        <v>26300</v>
      </c>
      <c r="K88" s="82">
        <v>7.78</v>
      </c>
      <c r="L88" s="82">
        <v>2</v>
      </c>
      <c r="M88" s="82">
        <v>2</v>
      </c>
      <c r="N88" s="36" t="s">
        <v>452</v>
      </c>
    </row>
    <row r="89" spans="1:14" s="8" customFormat="1" ht="20.399999999999999" x14ac:dyDescent="0.25">
      <c r="A89" s="140" t="s">
        <v>1478</v>
      </c>
      <c r="B89" s="140" t="s">
        <v>771</v>
      </c>
      <c r="C89" s="190" t="s">
        <v>21</v>
      </c>
      <c r="D89" s="35"/>
      <c r="E89" s="35">
        <v>1</v>
      </c>
      <c r="F89" s="46" t="s">
        <v>1555</v>
      </c>
      <c r="G89" s="128">
        <v>1</v>
      </c>
      <c r="H89" s="129" t="s">
        <v>14</v>
      </c>
      <c r="I89" s="51">
        <v>1195</v>
      </c>
      <c r="J89" s="51">
        <v>1195</v>
      </c>
      <c r="K89" s="82">
        <v>6</v>
      </c>
      <c r="L89" s="82">
        <v>1.1000000000000001</v>
      </c>
      <c r="M89" s="82">
        <v>1.6</v>
      </c>
      <c r="N89" s="36" t="s">
        <v>85</v>
      </c>
    </row>
    <row r="90" spans="1:14" s="8" customFormat="1" ht="26.4" x14ac:dyDescent="0.25">
      <c r="A90" s="140" t="s">
        <v>1478</v>
      </c>
      <c r="B90" s="140" t="s">
        <v>771</v>
      </c>
      <c r="C90" s="190" t="s">
        <v>21</v>
      </c>
      <c r="D90" s="35"/>
      <c r="E90" s="35">
        <v>1</v>
      </c>
      <c r="F90" s="46" t="s">
        <v>1550</v>
      </c>
      <c r="G90" s="128">
        <v>1</v>
      </c>
      <c r="H90" s="129" t="s">
        <v>14</v>
      </c>
      <c r="I90" s="51">
        <v>3230</v>
      </c>
      <c r="J90" s="51">
        <v>3230</v>
      </c>
      <c r="K90" s="82">
        <v>2.6</v>
      </c>
      <c r="L90" s="82">
        <v>1.3</v>
      </c>
      <c r="M90" s="82">
        <v>1.2</v>
      </c>
      <c r="N90" s="36" t="s">
        <v>85</v>
      </c>
    </row>
    <row r="91" spans="1:14" s="8" customFormat="1" ht="26.4" x14ac:dyDescent="0.25">
      <c r="A91" s="140" t="s">
        <v>1478</v>
      </c>
      <c r="B91" s="140" t="s">
        <v>771</v>
      </c>
      <c r="C91" s="190" t="s">
        <v>18</v>
      </c>
      <c r="D91" s="35"/>
      <c r="E91" s="35">
        <v>1</v>
      </c>
      <c r="F91" s="46" t="s">
        <v>1556</v>
      </c>
      <c r="G91" s="128">
        <v>3</v>
      </c>
      <c r="H91" s="129" t="s">
        <v>14</v>
      </c>
      <c r="I91" s="48">
        <v>105</v>
      </c>
      <c r="J91" s="48">
        <v>130</v>
      </c>
      <c r="K91" s="82">
        <v>2.2999999999999998</v>
      </c>
      <c r="L91" s="82">
        <v>1</v>
      </c>
      <c r="M91" s="82">
        <v>0.79</v>
      </c>
      <c r="N91" s="36" t="s">
        <v>85</v>
      </c>
    </row>
    <row r="92" spans="1:14" s="8" customFormat="1" ht="26.4" x14ac:dyDescent="0.25">
      <c r="A92" s="140" t="s">
        <v>1478</v>
      </c>
      <c r="B92" s="140" t="s">
        <v>771</v>
      </c>
      <c r="C92" s="190" t="s">
        <v>509</v>
      </c>
      <c r="D92" s="35"/>
      <c r="E92" s="35">
        <v>1</v>
      </c>
      <c r="F92" s="46" t="s">
        <v>1557</v>
      </c>
      <c r="G92" s="128">
        <v>1</v>
      </c>
      <c r="H92" s="73" t="s">
        <v>14</v>
      </c>
      <c r="I92" s="48">
        <v>120</v>
      </c>
      <c r="J92" s="48">
        <v>145</v>
      </c>
      <c r="K92" s="82">
        <v>1.1499999999999999</v>
      </c>
      <c r="L92" s="82">
        <v>0.9</v>
      </c>
      <c r="M92" s="82">
        <v>1.3</v>
      </c>
      <c r="N92" s="36" t="s">
        <v>85</v>
      </c>
    </row>
    <row r="93" spans="1:14" s="8" customFormat="1" ht="20.399999999999999" x14ac:dyDescent="0.25">
      <c r="A93" s="140" t="s">
        <v>1478</v>
      </c>
      <c r="B93" s="140" t="s">
        <v>771</v>
      </c>
      <c r="C93" s="190" t="s">
        <v>20</v>
      </c>
      <c r="D93" s="35"/>
      <c r="E93" s="35">
        <v>1</v>
      </c>
      <c r="F93" s="46" t="s">
        <v>1558</v>
      </c>
      <c r="G93" s="128">
        <v>18</v>
      </c>
      <c r="H93" s="129" t="s">
        <v>14</v>
      </c>
      <c r="I93" s="48">
        <v>32</v>
      </c>
      <c r="J93" s="48">
        <v>50</v>
      </c>
      <c r="K93" s="82">
        <v>0.6</v>
      </c>
      <c r="L93" s="82">
        <v>0.6</v>
      </c>
      <c r="M93" s="82">
        <v>0.7</v>
      </c>
      <c r="N93" s="36" t="s">
        <v>85</v>
      </c>
    </row>
    <row r="94" spans="1:14" s="8" customFormat="1" ht="214.2" x14ac:dyDescent="0.25">
      <c r="A94" s="140" t="s">
        <v>1478</v>
      </c>
      <c r="B94" s="140" t="s">
        <v>771</v>
      </c>
      <c r="C94" s="190" t="s">
        <v>20</v>
      </c>
      <c r="D94" s="35"/>
      <c r="E94" s="35">
        <v>1</v>
      </c>
      <c r="F94" s="164" t="s">
        <v>1559</v>
      </c>
      <c r="G94" s="128">
        <v>91</v>
      </c>
      <c r="H94" s="129" t="s">
        <v>14</v>
      </c>
      <c r="I94" s="48">
        <v>330</v>
      </c>
      <c r="J94" s="48">
        <v>400</v>
      </c>
      <c r="K94" s="82">
        <v>2.35</v>
      </c>
      <c r="L94" s="82">
        <v>0.75</v>
      </c>
      <c r="M94" s="82">
        <v>0.5</v>
      </c>
      <c r="N94" s="36" t="s">
        <v>85</v>
      </c>
    </row>
    <row r="95" spans="1:14" s="8" customFormat="1" ht="52.8" x14ac:dyDescent="0.25">
      <c r="A95" s="140" t="s">
        <v>1478</v>
      </c>
      <c r="B95" s="140" t="s">
        <v>771</v>
      </c>
      <c r="C95" s="190" t="s">
        <v>21</v>
      </c>
      <c r="D95" s="35"/>
      <c r="E95" s="35">
        <v>1</v>
      </c>
      <c r="F95" s="46" t="s">
        <v>770</v>
      </c>
      <c r="G95" s="128">
        <v>6</v>
      </c>
      <c r="H95" s="129" t="s">
        <v>14</v>
      </c>
      <c r="I95" s="48">
        <v>220</v>
      </c>
      <c r="J95" s="48">
        <v>220</v>
      </c>
      <c r="K95" s="82">
        <v>0.9</v>
      </c>
      <c r="L95" s="82">
        <v>1</v>
      </c>
      <c r="M95" s="82">
        <v>1.1000000000000001</v>
      </c>
      <c r="N95" s="36" t="s">
        <v>85</v>
      </c>
    </row>
    <row r="96" spans="1:14" s="8" customFormat="1" ht="20.399999999999999" x14ac:dyDescent="0.25">
      <c r="A96" s="140" t="s">
        <v>1478</v>
      </c>
      <c r="B96" s="140" t="s">
        <v>989</v>
      </c>
      <c r="C96" s="190" t="s">
        <v>21</v>
      </c>
      <c r="D96" s="35" t="s">
        <v>990</v>
      </c>
      <c r="E96" s="35">
        <v>1</v>
      </c>
      <c r="F96" s="46" t="s">
        <v>1560</v>
      </c>
      <c r="G96" s="128">
        <v>1</v>
      </c>
      <c r="H96" s="129" t="s">
        <v>14</v>
      </c>
      <c r="I96" s="51">
        <v>25460</v>
      </c>
      <c r="J96" s="51">
        <v>25460</v>
      </c>
      <c r="K96" s="82">
        <v>7.78</v>
      </c>
      <c r="L96" s="82">
        <v>1.44</v>
      </c>
      <c r="M96" s="82">
        <v>1.98</v>
      </c>
      <c r="N96" s="36" t="s">
        <v>991</v>
      </c>
    </row>
    <row r="97" spans="1:14" s="8" customFormat="1" ht="26.4" x14ac:dyDescent="0.25">
      <c r="A97" s="140" t="s">
        <v>1478</v>
      </c>
      <c r="B97" s="140" t="s">
        <v>989</v>
      </c>
      <c r="C97" s="190" t="s">
        <v>21</v>
      </c>
      <c r="D97" s="35" t="s">
        <v>990</v>
      </c>
      <c r="E97" s="35">
        <v>1</v>
      </c>
      <c r="F97" s="46" t="s">
        <v>1561</v>
      </c>
      <c r="G97" s="128">
        <v>1</v>
      </c>
      <c r="H97" s="129" t="s">
        <v>14</v>
      </c>
      <c r="I97" s="51">
        <v>752</v>
      </c>
      <c r="J97" s="51">
        <v>752</v>
      </c>
      <c r="K97" s="82">
        <v>3.3</v>
      </c>
      <c r="L97" s="82">
        <v>1.5</v>
      </c>
      <c r="M97" s="82">
        <v>1.5</v>
      </c>
      <c r="N97" s="36" t="s">
        <v>85</v>
      </c>
    </row>
    <row r="98" spans="1:14" s="8" customFormat="1" ht="26.4" x14ac:dyDescent="0.25">
      <c r="A98" s="140" t="s">
        <v>1478</v>
      </c>
      <c r="B98" s="140" t="s">
        <v>989</v>
      </c>
      <c r="C98" s="190" t="s">
        <v>21</v>
      </c>
      <c r="D98" s="35" t="s">
        <v>990</v>
      </c>
      <c r="E98" s="35">
        <v>1</v>
      </c>
      <c r="F98" s="46" t="s">
        <v>1550</v>
      </c>
      <c r="G98" s="128">
        <v>1</v>
      </c>
      <c r="H98" s="129" t="s">
        <v>14</v>
      </c>
      <c r="I98" s="51">
        <v>2841</v>
      </c>
      <c r="J98" s="51">
        <v>2841</v>
      </c>
      <c r="K98" s="82">
        <v>2.2000000000000002</v>
      </c>
      <c r="L98" s="82">
        <v>1.5</v>
      </c>
      <c r="M98" s="82">
        <v>0.8</v>
      </c>
      <c r="N98" s="36" t="s">
        <v>85</v>
      </c>
    </row>
    <row r="99" spans="1:14" s="8" customFormat="1" ht="20.399999999999999" x14ac:dyDescent="0.25">
      <c r="A99" s="140" t="s">
        <v>1478</v>
      </c>
      <c r="B99" s="140" t="s">
        <v>989</v>
      </c>
      <c r="C99" s="190" t="s">
        <v>18</v>
      </c>
      <c r="D99" s="35" t="s">
        <v>990</v>
      </c>
      <c r="E99" s="35">
        <v>1</v>
      </c>
      <c r="F99" s="46" t="s">
        <v>1565</v>
      </c>
      <c r="G99" s="128">
        <v>1</v>
      </c>
      <c r="H99" s="129" t="s">
        <v>14</v>
      </c>
      <c r="I99" s="48">
        <v>110</v>
      </c>
      <c r="J99" s="48">
        <v>130</v>
      </c>
      <c r="K99" s="82">
        <v>2.6</v>
      </c>
      <c r="L99" s="82">
        <v>1</v>
      </c>
      <c r="M99" s="82">
        <v>0.6</v>
      </c>
      <c r="N99" s="36" t="s">
        <v>85</v>
      </c>
    </row>
    <row r="100" spans="1:14" s="8" customFormat="1" ht="148.19999999999999" x14ac:dyDescent="0.25">
      <c r="A100" s="140" t="s">
        <v>1478</v>
      </c>
      <c r="B100" s="140" t="s">
        <v>989</v>
      </c>
      <c r="C100" s="190" t="s">
        <v>20</v>
      </c>
      <c r="D100" s="35" t="s">
        <v>990</v>
      </c>
      <c r="E100" s="35">
        <v>1</v>
      </c>
      <c r="F100" s="161" t="s">
        <v>992</v>
      </c>
      <c r="G100" s="128">
        <v>47</v>
      </c>
      <c r="H100" s="129" t="s">
        <v>14</v>
      </c>
      <c r="I100" s="48">
        <v>570</v>
      </c>
      <c r="J100" s="48">
        <v>640</v>
      </c>
      <c r="K100" s="82">
        <v>1.75</v>
      </c>
      <c r="L100" s="82">
        <v>1.25</v>
      </c>
      <c r="M100" s="82">
        <v>1.25</v>
      </c>
      <c r="N100" s="36" t="s">
        <v>85</v>
      </c>
    </row>
    <row r="101" spans="1:14" s="8" customFormat="1" ht="114" x14ac:dyDescent="0.25">
      <c r="A101" s="140" t="s">
        <v>1478</v>
      </c>
      <c r="B101" s="140" t="s">
        <v>989</v>
      </c>
      <c r="C101" s="190" t="s">
        <v>509</v>
      </c>
      <c r="D101" s="35" t="s">
        <v>990</v>
      </c>
      <c r="E101" s="35">
        <v>1</v>
      </c>
      <c r="F101" s="161" t="s">
        <v>993</v>
      </c>
      <c r="G101" s="128">
        <v>31</v>
      </c>
      <c r="H101" s="129" t="s">
        <v>14</v>
      </c>
      <c r="I101" s="48">
        <v>705</v>
      </c>
      <c r="J101" s="48">
        <v>785</v>
      </c>
      <c r="K101" s="82">
        <v>2.1</v>
      </c>
      <c r="L101" s="82">
        <v>1.1599999999999999</v>
      </c>
      <c r="M101" s="82">
        <v>0.6</v>
      </c>
      <c r="N101" s="36" t="s">
        <v>85</v>
      </c>
    </row>
    <row r="102" spans="1:14" s="8" customFormat="1" ht="28.8" x14ac:dyDescent="0.25">
      <c r="A102" s="140" t="s">
        <v>1478</v>
      </c>
      <c r="B102" s="163" t="s">
        <v>1243</v>
      </c>
      <c r="C102" s="34" t="s">
        <v>21</v>
      </c>
      <c r="D102" s="35"/>
      <c r="E102" s="35">
        <v>1</v>
      </c>
      <c r="F102" s="46" t="s">
        <v>1237</v>
      </c>
      <c r="G102" s="128">
        <v>1</v>
      </c>
      <c r="H102" s="129" t="s">
        <v>14</v>
      </c>
      <c r="I102" s="51">
        <v>24920</v>
      </c>
      <c r="J102" s="51">
        <v>24920</v>
      </c>
      <c r="K102" s="82">
        <v>7.78</v>
      </c>
      <c r="L102" s="82">
        <v>1.44</v>
      </c>
      <c r="M102" s="82">
        <v>1.98</v>
      </c>
      <c r="N102" s="36"/>
    </row>
    <row r="103" spans="1:14" s="8" customFormat="1" ht="28.8" x14ac:dyDescent="0.25">
      <c r="A103" s="140" t="s">
        <v>1478</v>
      </c>
      <c r="B103" s="163" t="s">
        <v>1243</v>
      </c>
      <c r="C103" s="34" t="s">
        <v>21</v>
      </c>
      <c r="D103" s="35"/>
      <c r="E103" s="35">
        <v>1</v>
      </c>
      <c r="F103" s="46" t="s">
        <v>1238</v>
      </c>
      <c r="G103" s="128">
        <v>1</v>
      </c>
      <c r="H103" s="129" t="s">
        <v>14</v>
      </c>
      <c r="I103" s="51">
        <v>770</v>
      </c>
      <c r="J103" s="51">
        <v>770</v>
      </c>
      <c r="K103" s="82">
        <v>4</v>
      </c>
      <c r="L103" s="82">
        <v>0.8</v>
      </c>
      <c r="M103" s="82">
        <v>1.5</v>
      </c>
      <c r="N103" s="36"/>
    </row>
    <row r="104" spans="1:14" s="8" customFormat="1" ht="28.8" x14ac:dyDescent="0.25">
      <c r="A104" s="140" t="s">
        <v>1478</v>
      </c>
      <c r="B104" s="163" t="s">
        <v>1243</v>
      </c>
      <c r="C104" s="34" t="s">
        <v>21</v>
      </c>
      <c r="D104" s="35"/>
      <c r="E104" s="35">
        <v>1</v>
      </c>
      <c r="F104" s="46" t="s">
        <v>1239</v>
      </c>
      <c r="G104" s="128">
        <v>1</v>
      </c>
      <c r="H104" s="129" t="s">
        <v>14</v>
      </c>
      <c r="I104" s="51">
        <v>2845</v>
      </c>
      <c r="J104" s="51">
        <v>2845</v>
      </c>
      <c r="K104" s="82">
        <v>2.2000000000000002</v>
      </c>
      <c r="L104" s="82">
        <v>1.5</v>
      </c>
      <c r="M104" s="82">
        <v>0.8</v>
      </c>
      <c r="N104" s="36"/>
    </row>
    <row r="105" spans="1:14" s="8" customFormat="1" ht="28.8" x14ac:dyDescent="0.25">
      <c r="A105" s="140" t="s">
        <v>1478</v>
      </c>
      <c r="B105" s="163" t="s">
        <v>1243</v>
      </c>
      <c r="C105" s="34" t="s">
        <v>18</v>
      </c>
      <c r="D105" s="35"/>
      <c r="E105" s="35">
        <v>1</v>
      </c>
      <c r="F105" s="46" t="s">
        <v>1240</v>
      </c>
      <c r="G105" s="128">
        <v>3</v>
      </c>
      <c r="H105" s="129" t="s">
        <v>14</v>
      </c>
      <c r="I105" s="48">
        <v>140</v>
      </c>
      <c r="J105" s="48">
        <v>160</v>
      </c>
      <c r="K105" s="82">
        <v>2.6</v>
      </c>
      <c r="L105" s="82">
        <v>1</v>
      </c>
      <c r="M105" s="82">
        <v>0.6</v>
      </c>
      <c r="N105" s="36"/>
    </row>
    <row r="106" spans="1:14" s="8" customFormat="1" ht="40.799999999999997" x14ac:dyDescent="0.25">
      <c r="A106" s="140" t="s">
        <v>1478</v>
      </c>
      <c r="B106" s="163" t="s">
        <v>1243</v>
      </c>
      <c r="C106" s="34" t="s">
        <v>598</v>
      </c>
      <c r="D106" s="35"/>
      <c r="E106" s="35">
        <v>1</v>
      </c>
      <c r="F106" s="164" t="s">
        <v>1241</v>
      </c>
      <c r="G106" s="128">
        <v>6</v>
      </c>
      <c r="H106" s="129" t="s">
        <v>14</v>
      </c>
      <c r="I106" s="48">
        <v>240</v>
      </c>
      <c r="J106" s="48">
        <v>240</v>
      </c>
      <c r="K106" s="82">
        <v>1</v>
      </c>
      <c r="L106" s="82">
        <v>1</v>
      </c>
      <c r="M106" s="82">
        <v>1</v>
      </c>
      <c r="N106" s="36"/>
    </row>
    <row r="107" spans="1:14" s="8" customFormat="1" ht="173.4" x14ac:dyDescent="0.25">
      <c r="A107" s="140" t="s">
        <v>1478</v>
      </c>
      <c r="B107" s="163" t="s">
        <v>1243</v>
      </c>
      <c r="C107" s="34" t="s">
        <v>20</v>
      </c>
      <c r="D107" s="35"/>
      <c r="E107" s="35">
        <v>1</v>
      </c>
      <c r="F107" s="164" t="s">
        <v>1242</v>
      </c>
      <c r="G107" s="128">
        <v>44</v>
      </c>
      <c r="H107" s="129" t="s">
        <v>14</v>
      </c>
      <c r="I107" s="48">
        <v>360</v>
      </c>
      <c r="J107" s="48">
        <v>460</v>
      </c>
      <c r="K107" s="82">
        <v>1.3</v>
      </c>
      <c r="L107" s="82">
        <v>1.1000000000000001</v>
      </c>
      <c r="M107" s="82">
        <v>1.25</v>
      </c>
      <c r="N107" s="36"/>
    </row>
    <row r="108" spans="1:14" s="8" customFormat="1" ht="20.399999999999999" x14ac:dyDescent="0.25">
      <c r="A108" s="140" t="s">
        <v>1562</v>
      </c>
      <c r="B108" s="140" t="s">
        <v>1203</v>
      </c>
      <c r="C108" s="34" t="s">
        <v>21</v>
      </c>
      <c r="D108" s="35"/>
      <c r="E108" s="35">
        <v>1</v>
      </c>
      <c r="F108" s="46" t="s">
        <v>1197</v>
      </c>
      <c r="G108" s="128">
        <v>1</v>
      </c>
      <c r="H108" s="129" t="s">
        <v>14</v>
      </c>
      <c r="I108" s="51">
        <v>24710</v>
      </c>
      <c r="J108" s="51">
        <v>24710</v>
      </c>
      <c r="K108" s="82">
        <v>7.78</v>
      </c>
      <c r="L108" s="82">
        <v>1.44</v>
      </c>
      <c r="M108" s="82">
        <v>1.98</v>
      </c>
      <c r="N108" s="36"/>
    </row>
    <row r="109" spans="1:14" s="8" customFormat="1" ht="26.4" x14ac:dyDescent="0.25">
      <c r="A109" s="140" t="s">
        <v>1562</v>
      </c>
      <c r="B109" s="140" t="s">
        <v>1203</v>
      </c>
      <c r="C109" s="34" t="s">
        <v>21</v>
      </c>
      <c r="D109" s="35"/>
      <c r="E109" s="35">
        <v>1</v>
      </c>
      <c r="F109" s="46" t="s">
        <v>1198</v>
      </c>
      <c r="G109" s="128">
        <v>1</v>
      </c>
      <c r="H109" s="129" t="s">
        <v>14</v>
      </c>
      <c r="I109" s="51">
        <v>750</v>
      </c>
      <c r="J109" s="51">
        <v>750</v>
      </c>
      <c r="K109" s="82">
        <v>3.7</v>
      </c>
      <c r="L109" s="82">
        <v>1</v>
      </c>
      <c r="M109" s="82">
        <v>1.5</v>
      </c>
      <c r="N109" s="36"/>
    </row>
    <row r="110" spans="1:14" s="8" customFormat="1" ht="26.4" x14ac:dyDescent="0.25">
      <c r="A110" s="140" t="s">
        <v>1562</v>
      </c>
      <c r="B110" s="140" t="s">
        <v>1203</v>
      </c>
      <c r="C110" s="34" t="s">
        <v>21</v>
      </c>
      <c r="D110" s="35"/>
      <c r="E110" s="35">
        <v>1</v>
      </c>
      <c r="F110" s="46" t="s">
        <v>1199</v>
      </c>
      <c r="G110" s="128">
        <v>1</v>
      </c>
      <c r="H110" s="129" t="s">
        <v>14</v>
      </c>
      <c r="I110" s="51">
        <v>1830</v>
      </c>
      <c r="J110" s="51">
        <v>1830</v>
      </c>
      <c r="K110" s="82">
        <v>1.6</v>
      </c>
      <c r="L110" s="82">
        <v>0.8</v>
      </c>
      <c r="M110" s="82">
        <v>1.2</v>
      </c>
      <c r="N110" s="36"/>
    </row>
    <row r="111" spans="1:14" s="8" customFormat="1" ht="26.4" x14ac:dyDescent="0.25">
      <c r="A111" s="140" t="s">
        <v>1562</v>
      </c>
      <c r="B111" s="140" t="s">
        <v>1203</v>
      </c>
      <c r="C111" s="34" t="s">
        <v>18</v>
      </c>
      <c r="D111" s="35"/>
      <c r="E111" s="35">
        <v>1</v>
      </c>
      <c r="F111" s="46" t="s">
        <v>1200</v>
      </c>
      <c r="G111" s="128">
        <v>3</v>
      </c>
      <c r="H111" s="129" t="s">
        <v>14</v>
      </c>
      <c r="I111" s="48">
        <v>110</v>
      </c>
      <c r="J111" s="48">
        <v>130</v>
      </c>
      <c r="K111" s="82">
        <v>2.6</v>
      </c>
      <c r="L111" s="82">
        <v>1</v>
      </c>
      <c r="M111" s="82">
        <v>0.6</v>
      </c>
      <c r="N111" s="36"/>
    </row>
    <row r="112" spans="1:14" s="8" customFormat="1" ht="40.799999999999997" x14ac:dyDescent="0.25">
      <c r="A112" s="140" t="s">
        <v>1562</v>
      </c>
      <c r="B112" s="140" t="s">
        <v>1203</v>
      </c>
      <c r="C112" s="34" t="s">
        <v>21</v>
      </c>
      <c r="D112" s="35"/>
      <c r="E112" s="35">
        <v>1</v>
      </c>
      <c r="F112" s="164" t="s">
        <v>1201</v>
      </c>
      <c r="G112" s="128">
        <v>6</v>
      </c>
      <c r="H112" s="129" t="s">
        <v>14</v>
      </c>
      <c r="I112" s="48">
        <v>170</v>
      </c>
      <c r="J112" s="48">
        <v>170</v>
      </c>
      <c r="K112" s="82">
        <v>1</v>
      </c>
      <c r="L112" s="82">
        <v>1</v>
      </c>
      <c r="M112" s="82">
        <v>1</v>
      </c>
      <c r="N112" s="36"/>
    </row>
    <row r="113" spans="1:14" s="8" customFormat="1" ht="142.80000000000001" x14ac:dyDescent="0.25">
      <c r="A113" s="140" t="s">
        <v>1562</v>
      </c>
      <c r="B113" s="140" t="s">
        <v>1203</v>
      </c>
      <c r="C113" s="34" t="s">
        <v>20</v>
      </c>
      <c r="D113" s="35"/>
      <c r="E113" s="35">
        <v>1</v>
      </c>
      <c r="F113" s="164" t="s">
        <v>1202</v>
      </c>
      <c r="G113" s="128">
        <v>85</v>
      </c>
      <c r="H113" s="129" t="s">
        <v>14</v>
      </c>
      <c r="I113" s="48">
        <v>350</v>
      </c>
      <c r="J113" s="48">
        <v>450</v>
      </c>
      <c r="K113" s="82">
        <v>1.75</v>
      </c>
      <c r="L113" s="82">
        <v>1.25</v>
      </c>
      <c r="M113" s="82">
        <v>1.25</v>
      </c>
      <c r="N113" s="36"/>
    </row>
    <row r="114" spans="1:14" s="8" customFormat="1" ht="20.399999999999999" x14ac:dyDescent="0.25">
      <c r="A114" s="140" t="s">
        <v>1562</v>
      </c>
      <c r="B114" s="140" t="s">
        <v>1230</v>
      </c>
      <c r="C114" s="34" t="s">
        <v>21</v>
      </c>
      <c r="D114" s="35"/>
      <c r="E114" s="35">
        <v>1</v>
      </c>
      <c r="F114" s="46" t="s">
        <v>1689</v>
      </c>
      <c r="G114" s="128">
        <v>1</v>
      </c>
      <c r="H114" s="129" t="s">
        <v>14</v>
      </c>
      <c r="I114" s="51">
        <v>24300</v>
      </c>
      <c r="J114" s="51">
        <v>24300</v>
      </c>
      <c r="K114" s="82">
        <v>7.65</v>
      </c>
      <c r="L114" s="82">
        <v>1.77</v>
      </c>
      <c r="M114" s="82">
        <v>1.98</v>
      </c>
      <c r="N114" s="36"/>
    </row>
    <row r="115" spans="1:14" s="8" customFormat="1" ht="26.4" x14ac:dyDescent="0.25">
      <c r="A115" s="140" t="s">
        <v>1562</v>
      </c>
      <c r="B115" s="140" t="s">
        <v>1230</v>
      </c>
      <c r="C115" s="34" t="s">
        <v>21</v>
      </c>
      <c r="D115" s="35"/>
      <c r="E115" s="35">
        <v>1</v>
      </c>
      <c r="F115" s="46" t="s">
        <v>1227</v>
      </c>
      <c r="G115" s="128">
        <v>1</v>
      </c>
      <c r="H115" s="129" t="s">
        <v>14</v>
      </c>
      <c r="I115" s="51">
        <v>710</v>
      </c>
      <c r="J115" s="51">
        <v>710</v>
      </c>
      <c r="K115" s="82">
        <v>3.7</v>
      </c>
      <c r="L115" s="82">
        <v>1.5</v>
      </c>
      <c r="M115" s="82">
        <v>1</v>
      </c>
      <c r="N115" s="36"/>
    </row>
    <row r="116" spans="1:14" s="8" customFormat="1" ht="26.4" x14ac:dyDescent="0.25">
      <c r="A116" s="140" t="s">
        <v>1562</v>
      </c>
      <c r="B116" s="140" t="s">
        <v>1230</v>
      </c>
      <c r="C116" s="34" t="s">
        <v>21</v>
      </c>
      <c r="D116" s="35"/>
      <c r="E116" s="35">
        <v>1</v>
      </c>
      <c r="F116" s="46" t="s">
        <v>1199</v>
      </c>
      <c r="G116" s="128">
        <v>1</v>
      </c>
      <c r="H116" s="129" t="s">
        <v>14</v>
      </c>
      <c r="I116" s="51">
        <v>1800</v>
      </c>
      <c r="J116" s="51">
        <v>1800</v>
      </c>
      <c r="K116" s="82">
        <v>1.6</v>
      </c>
      <c r="L116" s="82">
        <v>0.8</v>
      </c>
      <c r="M116" s="82">
        <v>1.2</v>
      </c>
      <c r="N116" s="36"/>
    </row>
    <row r="117" spans="1:14" s="8" customFormat="1" ht="30.6" x14ac:dyDescent="0.25">
      <c r="A117" s="140" t="s">
        <v>1562</v>
      </c>
      <c r="B117" s="140" t="s">
        <v>1230</v>
      </c>
      <c r="C117" s="34" t="s">
        <v>18</v>
      </c>
      <c r="D117" s="35"/>
      <c r="E117" s="35">
        <v>1</v>
      </c>
      <c r="F117" s="164" t="s">
        <v>1228</v>
      </c>
      <c r="G117" s="128">
        <v>4</v>
      </c>
      <c r="H117" s="129" t="s">
        <v>14</v>
      </c>
      <c r="I117" s="48">
        <v>100</v>
      </c>
      <c r="J117" s="48">
        <v>120</v>
      </c>
      <c r="K117" s="82">
        <v>3</v>
      </c>
      <c r="L117" s="82">
        <v>1</v>
      </c>
      <c r="M117" s="82">
        <v>0.6</v>
      </c>
      <c r="N117" s="36"/>
    </row>
    <row r="118" spans="1:14" s="8" customFormat="1" ht="40.799999999999997" x14ac:dyDescent="0.25">
      <c r="A118" s="140" t="s">
        <v>1562</v>
      </c>
      <c r="B118" s="140" t="s">
        <v>1230</v>
      </c>
      <c r="C118" s="34" t="s">
        <v>21</v>
      </c>
      <c r="D118" s="35"/>
      <c r="E118" s="35">
        <v>1</v>
      </c>
      <c r="F118" s="164" t="s">
        <v>1201</v>
      </c>
      <c r="G118" s="128">
        <v>6</v>
      </c>
      <c r="H118" s="129" t="s">
        <v>14</v>
      </c>
      <c r="I118" s="48">
        <v>230</v>
      </c>
      <c r="J118" s="48">
        <v>230</v>
      </c>
      <c r="K118" s="82">
        <v>1</v>
      </c>
      <c r="L118" s="82">
        <v>1</v>
      </c>
      <c r="M118" s="82">
        <v>1</v>
      </c>
      <c r="N118" s="36"/>
    </row>
    <row r="119" spans="1:14" s="8" customFormat="1" ht="132.6" x14ac:dyDescent="0.25">
      <c r="A119" s="140" t="s">
        <v>1562</v>
      </c>
      <c r="B119" s="140" t="s">
        <v>1230</v>
      </c>
      <c r="C119" s="34" t="s">
        <v>20</v>
      </c>
      <c r="D119" s="35"/>
      <c r="E119" s="35">
        <v>1</v>
      </c>
      <c r="F119" s="164" t="s">
        <v>1229</v>
      </c>
      <c r="G119" s="128">
        <v>35</v>
      </c>
      <c r="H119" s="129" t="s">
        <v>14</v>
      </c>
      <c r="I119" s="48">
        <v>340</v>
      </c>
      <c r="J119" s="48">
        <v>440</v>
      </c>
      <c r="K119" s="82">
        <v>1.75</v>
      </c>
      <c r="L119" s="82">
        <v>1.25</v>
      </c>
      <c r="M119" s="82">
        <v>1.25</v>
      </c>
      <c r="N119" s="36"/>
    </row>
    <row r="120" spans="1:14" s="8" customFormat="1" ht="20.399999999999999" x14ac:dyDescent="0.25">
      <c r="A120" s="140" t="s">
        <v>1478</v>
      </c>
      <c r="B120" s="140" t="s">
        <v>1696</v>
      </c>
      <c r="C120" s="190" t="s">
        <v>21</v>
      </c>
      <c r="D120" s="140" t="s">
        <v>990</v>
      </c>
      <c r="E120" s="140">
        <v>1</v>
      </c>
      <c r="F120" s="164" t="s">
        <v>1697</v>
      </c>
      <c r="G120" s="233">
        <v>1</v>
      </c>
      <c r="H120" s="234" t="s">
        <v>14</v>
      </c>
      <c r="I120" s="235">
        <v>24635</v>
      </c>
      <c r="J120" s="235">
        <v>24635</v>
      </c>
      <c r="K120" s="236">
        <v>7.6</v>
      </c>
      <c r="L120" s="236">
        <v>1.44</v>
      </c>
      <c r="M120" s="236">
        <v>1.88</v>
      </c>
      <c r="N120" s="36"/>
    </row>
    <row r="121" spans="1:14" s="8" customFormat="1" ht="20.399999999999999" x14ac:dyDescent="0.25">
      <c r="A121" s="140" t="s">
        <v>1478</v>
      </c>
      <c r="B121" s="140"/>
      <c r="C121" s="190" t="s">
        <v>21</v>
      </c>
      <c r="D121" s="140" t="s">
        <v>1637</v>
      </c>
      <c r="E121" s="140">
        <v>1</v>
      </c>
      <c r="F121" s="164" t="s">
        <v>1700</v>
      </c>
      <c r="G121" s="237">
        <v>1</v>
      </c>
      <c r="H121" s="238" t="s">
        <v>1593</v>
      </c>
      <c r="I121" s="235">
        <v>660</v>
      </c>
      <c r="J121" s="235">
        <v>660</v>
      </c>
      <c r="K121" s="236">
        <v>3.1</v>
      </c>
      <c r="L121" s="236">
        <v>1.55</v>
      </c>
      <c r="M121" s="236">
        <v>0.9</v>
      </c>
      <c r="N121" s="36"/>
    </row>
    <row r="122" spans="1:14" s="8" customFormat="1" ht="20.399999999999999" x14ac:dyDescent="0.25">
      <c r="A122" s="140" t="s">
        <v>1478</v>
      </c>
      <c r="B122" s="140" t="s">
        <v>1696</v>
      </c>
      <c r="C122" s="190" t="s">
        <v>21</v>
      </c>
      <c r="D122" s="140" t="s">
        <v>1637</v>
      </c>
      <c r="E122" s="140">
        <v>1</v>
      </c>
      <c r="F122" s="164" t="s">
        <v>1698</v>
      </c>
      <c r="G122" s="237">
        <v>1</v>
      </c>
      <c r="H122" s="234" t="s">
        <v>14</v>
      </c>
      <c r="I122" s="235">
        <v>3055</v>
      </c>
      <c r="J122" s="235">
        <v>3095</v>
      </c>
      <c r="K122" s="236">
        <v>2.5499999999999998</v>
      </c>
      <c r="L122" s="236">
        <v>1.05</v>
      </c>
      <c r="M122" s="236">
        <v>1.19</v>
      </c>
      <c r="N122" s="228" t="s">
        <v>1704</v>
      </c>
    </row>
    <row r="123" spans="1:14" s="8" customFormat="1" ht="71.400000000000006" x14ac:dyDescent="0.25">
      <c r="A123" s="140" t="s">
        <v>1478</v>
      </c>
      <c r="B123" s="140" t="s">
        <v>1696</v>
      </c>
      <c r="C123" s="190" t="s">
        <v>21</v>
      </c>
      <c r="D123" s="140" t="s">
        <v>1637</v>
      </c>
      <c r="E123" s="140">
        <v>1</v>
      </c>
      <c r="F123" s="164" t="s">
        <v>1701</v>
      </c>
      <c r="G123" s="233">
        <v>6</v>
      </c>
      <c r="H123" s="234" t="s">
        <v>1622</v>
      </c>
      <c r="I123" s="235">
        <v>240</v>
      </c>
      <c r="J123" s="235">
        <v>240</v>
      </c>
      <c r="K123" s="236">
        <v>1</v>
      </c>
      <c r="L123" s="236">
        <v>1</v>
      </c>
      <c r="M123" s="236">
        <v>1</v>
      </c>
      <c r="N123" s="36"/>
    </row>
    <row r="124" spans="1:14" s="8" customFormat="1" ht="20.399999999999999" x14ac:dyDescent="0.25">
      <c r="A124" s="140" t="s">
        <v>1478</v>
      </c>
      <c r="B124" s="140" t="s">
        <v>1696</v>
      </c>
      <c r="C124" s="190" t="s">
        <v>21</v>
      </c>
      <c r="D124" s="140" t="s">
        <v>990</v>
      </c>
      <c r="E124" s="140">
        <v>1</v>
      </c>
      <c r="F124" s="164" t="s">
        <v>1702</v>
      </c>
      <c r="G124" s="233">
        <v>2</v>
      </c>
      <c r="H124" s="234" t="s">
        <v>1622</v>
      </c>
      <c r="I124" s="235">
        <v>210</v>
      </c>
      <c r="J124" s="235">
        <v>280</v>
      </c>
      <c r="K124" s="236">
        <v>1.3</v>
      </c>
      <c r="L124" s="236">
        <v>1.18</v>
      </c>
      <c r="M124" s="236">
        <v>0.89</v>
      </c>
      <c r="N124" s="36"/>
    </row>
    <row r="125" spans="1:14" s="8" customFormat="1" ht="20.399999999999999" x14ac:dyDescent="0.25">
      <c r="A125" s="140" t="s">
        <v>1478</v>
      </c>
      <c r="B125" s="140" t="s">
        <v>1696</v>
      </c>
      <c r="C125" s="190" t="s">
        <v>21</v>
      </c>
      <c r="D125" s="140" t="s">
        <v>1699</v>
      </c>
      <c r="E125" s="140">
        <v>1</v>
      </c>
      <c r="F125" s="164" t="s">
        <v>1703</v>
      </c>
      <c r="G125" s="233">
        <v>2</v>
      </c>
      <c r="H125" s="234" t="s">
        <v>1622</v>
      </c>
      <c r="I125" s="235">
        <v>290</v>
      </c>
      <c r="J125" s="235">
        <v>310</v>
      </c>
      <c r="K125" s="236">
        <v>2.46</v>
      </c>
      <c r="L125" s="236">
        <v>1</v>
      </c>
      <c r="M125" s="236">
        <v>1.1599999999999999</v>
      </c>
      <c r="N125" s="36"/>
    </row>
    <row r="126" spans="1:14" s="8" customFormat="1" ht="153" x14ac:dyDescent="0.25">
      <c r="A126" s="140" t="s">
        <v>1478</v>
      </c>
      <c r="B126" s="140" t="s">
        <v>1696</v>
      </c>
      <c r="C126" s="190" t="s">
        <v>942</v>
      </c>
      <c r="D126" s="140" t="s">
        <v>990</v>
      </c>
      <c r="E126" s="140">
        <v>1</v>
      </c>
      <c r="F126" s="164" t="s">
        <v>1705</v>
      </c>
      <c r="G126" s="233">
        <v>9076</v>
      </c>
      <c r="H126" s="234" t="s">
        <v>1622</v>
      </c>
      <c r="I126" s="235">
        <v>360</v>
      </c>
      <c r="J126" s="235">
        <v>500</v>
      </c>
      <c r="K126" s="236">
        <v>1.3</v>
      </c>
      <c r="L126" s="236">
        <v>1.1000000000000001</v>
      </c>
      <c r="M126" s="236">
        <v>1.2</v>
      </c>
      <c r="N126" s="36"/>
    </row>
    <row r="127" spans="1:14" s="8" customFormat="1" x14ac:dyDescent="0.25">
      <c r="A127" s="140"/>
      <c r="B127" s="140"/>
      <c r="C127" s="190"/>
      <c r="D127" s="35"/>
      <c r="E127" s="35"/>
      <c r="F127" s="46"/>
      <c r="G127" s="75"/>
      <c r="H127" s="76"/>
      <c r="I127" s="51"/>
      <c r="J127" s="51"/>
      <c r="K127" s="82"/>
      <c r="L127" s="82"/>
      <c r="M127" s="82"/>
      <c r="N127" s="36"/>
    </row>
    <row r="128" spans="1:14" s="8" customFormat="1" x14ac:dyDescent="0.25">
      <c r="A128" s="186"/>
      <c r="B128" s="186"/>
      <c r="C128" s="202"/>
      <c r="D128" s="40"/>
      <c r="E128" s="40"/>
      <c r="F128" s="49" t="s">
        <v>593</v>
      </c>
      <c r="G128" s="232"/>
      <c r="H128" s="153"/>
      <c r="I128" s="154"/>
      <c r="J128" s="154"/>
      <c r="K128" s="83"/>
      <c r="L128" s="83"/>
      <c r="M128" s="83"/>
      <c r="N128" s="42"/>
    </row>
    <row r="129" spans="1:14" s="8" customFormat="1" ht="79.2" x14ac:dyDescent="0.25">
      <c r="A129" s="140" t="s">
        <v>1478</v>
      </c>
      <c r="B129" s="140" t="s">
        <v>594</v>
      </c>
      <c r="C129" s="190" t="s">
        <v>595</v>
      </c>
      <c r="D129" s="35" t="s">
        <v>162</v>
      </c>
      <c r="E129" s="33">
        <v>1</v>
      </c>
      <c r="F129" s="46" t="s">
        <v>1566</v>
      </c>
      <c r="G129" s="75"/>
      <c r="H129" s="76"/>
      <c r="I129" s="47">
        <v>727.2</v>
      </c>
      <c r="J129" s="47">
        <v>780</v>
      </c>
      <c r="K129" s="82"/>
      <c r="L129" s="82"/>
      <c r="M129" s="82"/>
      <c r="N129" s="36"/>
    </row>
    <row r="130" spans="1:14" s="8" customFormat="1" ht="118.8" x14ac:dyDescent="0.25">
      <c r="A130" s="140" t="s">
        <v>1478</v>
      </c>
      <c r="B130" s="140" t="s">
        <v>594</v>
      </c>
      <c r="C130" s="190" t="s">
        <v>595</v>
      </c>
      <c r="D130" s="35" t="s">
        <v>162</v>
      </c>
      <c r="E130" s="33">
        <v>1</v>
      </c>
      <c r="F130" s="46" t="s">
        <v>1567</v>
      </c>
      <c r="G130" s="75"/>
      <c r="H130" s="76"/>
      <c r="I130" s="47">
        <v>792.5</v>
      </c>
      <c r="J130" s="47">
        <v>842.5</v>
      </c>
      <c r="K130" s="82"/>
      <c r="L130" s="82"/>
      <c r="M130" s="82"/>
      <c r="N130" s="36"/>
    </row>
    <row r="131" spans="1:14" s="8" customFormat="1" ht="79.2" x14ac:dyDescent="0.25">
      <c r="A131" s="140" t="s">
        <v>1478</v>
      </c>
      <c r="B131" s="140" t="s">
        <v>594</v>
      </c>
      <c r="C131" s="190" t="s">
        <v>595</v>
      </c>
      <c r="D131" s="35" t="s">
        <v>162</v>
      </c>
      <c r="E131" s="33">
        <v>1</v>
      </c>
      <c r="F131" s="46" t="s">
        <v>1568</v>
      </c>
      <c r="G131" s="75"/>
      <c r="H131" s="76"/>
      <c r="I131" s="47">
        <v>714.4</v>
      </c>
      <c r="J131" s="47">
        <v>765</v>
      </c>
      <c r="K131" s="82"/>
      <c r="L131" s="82"/>
      <c r="M131" s="82"/>
      <c r="N131" s="36"/>
    </row>
    <row r="132" spans="1:14" s="8" customFormat="1" ht="118.8" x14ac:dyDescent="0.25">
      <c r="A132" s="140" t="s">
        <v>1478</v>
      </c>
      <c r="B132" s="140" t="s">
        <v>594</v>
      </c>
      <c r="C132" s="190" t="s">
        <v>595</v>
      </c>
      <c r="D132" s="35" t="s">
        <v>162</v>
      </c>
      <c r="E132" s="33">
        <v>1</v>
      </c>
      <c r="F132" s="46" t="s">
        <v>1569</v>
      </c>
      <c r="G132" s="75"/>
      <c r="H132" s="76"/>
      <c r="I132" s="103">
        <v>1020.42</v>
      </c>
      <c r="J132" s="47">
        <v>1070</v>
      </c>
      <c r="K132" s="82"/>
      <c r="L132" s="82"/>
      <c r="M132" s="82"/>
      <c r="N132" s="36"/>
    </row>
    <row r="133" spans="1:14" s="8" customFormat="1" ht="52.8" x14ac:dyDescent="0.25">
      <c r="A133" s="140" t="s">
        <v>1478</v>
      </c>
      <c r="B133" s="140" t="s">
        <v>594</v>
      </c>
      <c r="C133" s="190" t="s">
        <v>20</v>
      </c>
      <c r="D133" s="35" t="s">
        <v>162</v>
      </c>
      <c r="E133" s="33">
        <v>1</v>
      </c>
      <c r="F133" s="46" t="s">
        <v>596</v>
      </c>
      <c r="G133" s="75"/>
      <c r="H133" s="76"/>
      <c r="I133" s="47">
        <v>800</v>
      </c>
      <c r="J133" s="47">
        <v>850</v>
      </c>
      <c r="K133" s="82"/>
      <c r="L133" s="82"/>
      <c r="M133" s="82"/>
      <c r="N133" s="36"/>
    </row>
    <row r="134" spans="1:14" ht="13.8" x14ac:dyDescent="0.25">
      <c r="A134" s="5"/>
      <c r="B134" s="173"/>
      <c r="C134" s="173"/>
      <c r="D134" s="173"/>
      <c r="E134" s="22"/>
      <c r="F134" s="24"/>
      <c r="G134" s="24"/>
      <c r="H134" s="24"/>
      <c r="I134" s="15"/>
      <c r="J134" s="15"/>
      <c r="K134" s="15"/>
      <c r="L134" s="15"/>
      <c r="M134" s="5"/>
    </row>
    <row r="135" spans="1:14" ht="13.8" x14ac:dyDescent="0.25">
      <c r="A135" s="5"/>
      <c r="B135" s="22"/>
      <c r="C135" s="22"/>
      <c r="D135" s="22"/>
      <c r="E135" s="22"/>
      <c r="F135" s="24"/>
      <c r="G135" s="24"/>
      <c r="H135" s="24"/>
      <c r="I135" s="25"/>
      <c r="J135" s="26"/>
      <c r="K135" s="26"/>
      <c r="L135" s="26"/>
      <c r="M135" s="5"/>
    </row>
    <row r="136" spans="1:14" ht="13.8" x14ac:dyDescent="0.25">
      <c r="A136" s="5"/>
      <c r="B136" s="22"/>
      <c r="C136" s="22"/>
      <c r="D136" s="22"/>
      <c r="E136" s="22"/>
      <c r="F136" s="24"/>
      <c r="G136" s="24"/>
      <c r="H136" s="24"/>
      <c r="I136" s="25"/>
      <c r="J136" s="26"/>
      <c r="K136" s="26"/>
      <c r="L136" s="26"/>
      <c r="M136" s="5"/>
    </row>
    <row r="137" spans="1:14" ht="13.8" x14ac:dyDescent="0.25">
      <c r="A137" s="5"/>
      <c r="B137" s="22"/>
      <c r="C137" s="22"/>
      <c r="D137" s="22"/>
      <c r="E137" s="22"/>
      <c r="F137" s="24"/>
      <c r="G137" s="24"/>
      <c r="H137" s="24"/>
      <c r="I137" s="25"/>
      <c r="J137" s="26"/>
      <c r="K137" s="26"/>
      <c r="L137" s="26"/>
      <c r="M137" s="5"/>
    </row>
    <row r="138" spans="1:14" ht="14.25" customHeight="1" x14ac:dyDescent="0.25">
      <c r="A138" s="5"/>
      <c r="B138" s="5"/>
      <c r="C138" s="5"/>
      <c r="D138" s="5"/>
      <c r="E138" s="5"/>
      <c r="F138" s="5"/>
      <c r="G138" s="69"/>
      <c r="H138" s="69"/>
      <c r="I138" s="26"/>
      <c r="J138" s="26"/>
      <c r="K138" s="26"/>
      <c r="L138" s="26"/>
      <c r="M138" s="5"/>
    </row>
    <row r="139" spans="1:14" ht="14.25" customHeight="1" x14ac:dyDescent="0.25">
      <c r="A139" s="5"/>
      <c r="B139" s="5"/>
      <c r="C139" s="5"/>
      <c r="D139" s="5"/>
      <c r="E139" s="5"/>
      <c r="F139" s="5"/>
      <c r="G139" s="69"/>
      <c r="H139" s="69"/>
      <c r="I139" s="26"/>
      <c r="J139" s="26"/>
      <c r="K139" s="26"/>
      <c r="L139" s="26"/>
      <c r="M139" s="5"/>
    </row>
    <row r="140" spans="1:14" ht="14.25" customHeight="1" x14ac:dyDescent="0.25">
      <c r="A140" s="5"/>
      <c r="B140" s="5"/>
      <c r="C140" s="5"/>
      <c r="D140" s="5"/>
      <c r="E140" s="5"/>
      <c r="F140" s="5"/>
      <c r="G140" s="69"/>
      <c r="H140" s="69"/>
      <c r="I140" s="26"/>
      <c r="J140" s="26"/>
      <c r="K140" s="26"/>
      <c r="L140" s="26"/>
      <c r="M140" s="5"/>
    </row>
    <row r="141" spans="1:14" ht="13.8" x14ac:dyDescent="0.25">
      <c r="B141" s="5"/>
      <c r="C141" s="5"/>
      <c r="D141" s="5"/>
      <c r="E141" s="5"/>
      <c r="F141" s="5"/>
      <c r="G141" s="69"/>
      <c r="H141" s="69"/>
      <c r="I141" s="18"/>
      <c r="J141" s="18"/>
      <c r="K141" s="18"/>
      <c r="L141" s="18"/>
    </row>
    <row r="142" spans="1:14" x14ac:dyDescent="0.25">
      <c r="F142" s="1"/>
      <c r="G142" s="1"/>
      <c r="H142" s="1"/>
      <c r="J142" s="18"/>
      <c r="K142" s="18"/>
      <c r="L142" s="18"/>
    </row>
    <row r="143" spans="1:14" ht="15.6" x14ac:dyDescent="0.3">
      <c r="B143" s="27"/>
      <c r="C143" s="27"/>
      <c r="F143" s="1"/>
      <c r="G143" s="1"/>
      <c r="H143" s="1"/>
      <c r="I143" s="18"/>
      <c r="J143" s="18"/>
      <c r="K143" s="18"/>
      <c r="L143" s="18"/>
    </row>
    <row r="144" spans="1:14" x14ac:dyDescent="0.25">
      <c r="F144" s="1"/>
      <c r="G144" s="1"/>
      <c r="H144" s="1"/>
      <c r="I144" s="18"/>
      <c r="J144" s="18"/>
      <c r="K144" s="18"/>
      <c r="L144" s="18"/>
    </row>
    <row r="145" spans="6:12" x14ac:dyDescent="0.25">
      <c r="F145" s="1"/>
      <c r="G145" s="1"/>
      <c r="H145" s="1"/>
      <c r="I145" s="18"/>
      <c r="J145" s="18"/>
      <c r="K145" s="18"/>
      <c r="L145" s="18"/>
    </row>
    <row r="146" spans="6:12" x14ac:dyDescent="0.25">
      <c r="F146" s="1"/>
      <c r="G146" s="1"/>
      <c r="H146" s="1"/>
      <c r="I146" s="18"/>
      <c r="J146" s="18"/>
      <c r="K146" s="18"/>
      <c r="L146" s="18"/>
    </row>
    <row r="147" spans="6:12" x14ac:dyDescent="0.25">
      <c r="F147" s="1"/>
      <c r="G147" s="1"/>
      <c r="H147" s="1"/>
      <c r="I147" s="18"/>
      <c r="J147" s="18"/>
      <c r="K147" s="18"/>
      <c r="L147" s="18"/>
    </row>
    <row r="148" spans="6:12" x14ac:dyDescent="0.25">
      <c r="F148" s="1"/>
      <c r="G148" s="1"/>
      <c r="H148" s="1"/>
      <c r="I148" s="18"/>
      <c r="J148" s="18"/>
      <c r="K148" s="18"/>
      <c r="L148" s="18"/>
    </row>
    <row r="149" spans="6:12" x14ac:dyDescent="0.25">
      <c r="F149" s="1"/>
      <c r="G149" s="1"/>
      <c r="H149" s="1"/>
      <c r="I149" s="18"/>
      <c r="J149" s="18"/>
      <c r="K149" s="18"/>
      <c r="L149" s="18"/>
    </row>
    <row r="150" spans="6:12" x14ac:dyDescent="0.25">
      <c r="F150" s="1"/>
      <c r="G150" s="1"/>
      <c r="H150" s="1"/>
      <c r="I150" s="18"/>
      <c r="J150" s="18"/>
      <c r="K150" s="18"/>
      <c r="L150" s="18"/>
    </row>
    <row r="151" spans="6:12" x14ac:dyDescent="0.25">
      <c r="F151" s="1"/>
      <c r="G151" s="1"/>
      <c r="H151" s="1"/>
      <c r="I151" s="18"/>
      <c r="J151" s="18"/>
      <c r="K151" s="18"/>
      <c r="L151" s="18"/>
    </row>
    <row r="152" spans="6:12" x14ac:dyDescent="0.25">
      <c r="F152" s="1"/>
      <c r="G152" s="1"/>
      <c r="H152" s="1"/>
      <c r="I152" s="18"/>
      <c r="J152" s="18"/>
      <c r="K152" s="18"/>
      <c r="L152" s="18"/>
    </row>
    <row r="153" spans="6:12" x14ac:dyDescent="0.25">
      <c r="F153" s="1"/>
      <c r="G153" s="1"/>
      <c r="H153" s="1"/>
      <c r="I153" s="18"/>
      <c r="J153" s="18"/>
      <c r="K153" s="18"/>
      <c r="L153" s="18"/>
    </row>
    <row r="154" spans="6:12" x14ac:dyDescent="0.25">
      <c r="F154" s="1"/>
      <c r="G154" s="1"/>
      <c r="H154" s="1"/>
      <c r="I154" s="18"/>
      <c r="J154" s="18"/>
      <c r="K154" s="18"/>
      <c r="L154" s="18"/>
    </row>
    <row r="155" spans="6:12" x14ac:dyDescent="0.25">
      <c r="F155" s="1"/>
      <c r="G155" s="1"/>
      <c r="H155" s="1"/>
      <c r="I155" s="18"/>
      <c r="J155" s="18"/>
      <c r="K155" s="18"/>
      <c r="L155" s="18"/>
    </row>
    <row r="156" spans="6:12" x14ac:dyDescent="0.25">
      <c r="F156" s="1"/>
      <c r="G156" s="1"/>
      <c r="H156" s="1"/>
      <c r="I156" s="18"/>
      <c r="J156" s="18"/>
      <c r="K156" s="18"/>
      <c r="L156" s="18"/>
    </row>
    <row r="157" spans="6:12" x14ac:dyDescent="0.25">
      <c r="F157" s="1"/>
      <c r="G157" s="1"/>
      <c r="H157" s="1"/>
      <c r="I157" s="18"/>
      <c r="J157" s="18"/>
      <c r="K157" s="18"/>
      <c r="L157" s="18"/>
    </row>
    <row r="158" spans="6:12" x14ac:dyDescent="0.25">
      <c r="F158" s="1"/>
      <c r="G158" s="1"/>
      <c r="H158" s="1"/>
      <c r="J158" s="18"/>
      <c r="K158" s="18"/>
      <c r="L158"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8E7B-9D8E-4092-BCCC-63956D00FE47}">
  <dimension ref="A1:P90"/>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20.399999999999999" x14ac:dyDescent="0.25">
      <c r="A2" s="140" t="s">
        <v>1680</v>
      </c>
      <c r="B2" s="140" t="s">
        <v>1681</v>
      </c>
      <c r="C2" s="190" t="s">
        <v>97</v>
      </c>
      <c r="D2" s="140" t="s">
        <v>1678</v>
      </c>
      <c r="E2" s="140">
        <v>1</v>
      </c>
      <c r="F2" s="164" t="s">
        <v>1679</v>
      </c>
      <c r="G2" s="239">
        <v>1</v>
      </c>
      <c r="H2" s="238" t="s">
        <v>1593</v>
      </c>
      <c r="I2" s="235">
        <v>15000</v>
      </c>
      <c r="J2" s="235">
        <v>15000</v>
      </c>
      <c r="K2" s="236">
        <v>6.28</v>
      </c>
      <c r="L2" s="236">
        <v>1.29</v>
      </c>
      <c r="M2" s="236">
        <v>1.76</v>
      </c>
      <c r="N2" s="36" t="s">
        <v>1687</v>
      </c>
    </row>
    <row r="3" spans="1:16" s="8" customFormat="1" ht="20.399999999999999" x14ac:dyDescent="0.25">
      <c r="A3" s="140" t="s">
        <v>1680</v>
      </c>
      <c r="B3" s="140" t="s">
        <v>1681</v>
      </c>
      <c r="C3" s="190" t="s">
        <v>97</v>
      </c>
      <c r="D3" s="140" t="s">
        <v>1678</v>
      </c>
      <c r="E3" s="140">
        <v>1</v>
      </c>
      <c r="F3" s="164" t="s">
        <v>1682</v>
      </c>
      <c r="G3" s="237">
        <v>1</v>
      </c>
      <c r="H3" s="238" t="s">
        <v>1593</v>
      </c>
      <c r="I3" s="235">
        <v>610</v>
      </c>
      <c r="J3" s="235">
        <v>610</v>
      </c>
      <c r="K3" s="236">
        <v>3.65</v>
      </c>
      <c r="L3" s="236">
        <v>1.55</v>
      </c>
      <c r="M3" s="236">
        <v>1</v>
      </c>
      <c r="N3" s="36" t="s">
        <v>1687</v>
      </c>
    </row>
    <row r="4" spans="1:16" s="8" customFormat="1" ht="20.399999999999999" x14ac:dyDescent="0.25">
      <c r="A4" s="140" t="s">
        <v>1680</v>
      </c>
      <c r="B4" s="140" t="s">
        <v>1681</v>
      </c>
      <c r="C4" s="190" t="s">
        <v>97</v>
      </c>
      <c r="D4" s="140" t="s">
        <v>1678</v>
      </c>
      <c r="E4" s="140">
        <v>1</v>
      </c>
      <c r="F4" s="164" t="s">
        <v>1683</v>
      </c>
      <c r="G4" s="239">
        <v>1</v>
      </c>
      <c r="H4" s="238" t="s">
        <v>1593</v>
      </c>
      <c r="I4" s="235">
        <v>1600</v>
      </c>
      <c r="J4" s="235">
        <v>1600</v>
      </c>
      <c r="K4" s="236">
        <v>1.75</v>
      </c>
      <c r="L4" s="236">
        <v>1</v>
      </c>
      <c r="M4" s="236">
        <v>1.2</v>
      </c>
      <c r="N4" s="36" t="s">
        <v>1687</v>
      </c>
    </row>
    <row r="5" spans="1:16" s="8" customFormat="1" ht="20.399999999999999" x14ac:dyDescent="0.25">
      <c r="A5" s="140" t="s">
        <v>1680</v>
      </c>
      <c r="B5" s="140" t="s">
        <v>1681</v>
      </c>
      <c r="C5" s="190" t="s">
        <v>97</v>
      </c>
      <c r="D5" s="140" t="s">
        <v>1678</v>
      </c>
      <c r="E5" s="140">
        <v>1</v>
      </c>
      <c r="F5" s="164" t="s">
        <v>1684</v>
      </c>
      <c r="G5" s="233">
        <v>3</v>
      </c>
      <c r="H5" s="234" t="s">
        <v>1622</v>
      </c>
      <c r="I5" s="235">
        <v>60</v>
      </c>
      <c r="J5" s="235">
        <v>60</v>
      </c>
      <c r="K5" s="236">
        <v>2</v>
      </c>
      <c r="L5" s="236">
        <v>0.8</v>
      </c>
      <c r="M5" s="236">
        <v>0.33</v>
      </c>
      <c r="N5" s="36" t="s">
        <v>1687</v>
      </c>
    </row>
    <row r="6" spans="1:16" s="8" customFormat="1" ht="71.400000000000006" x14ac:dyDescent="0.25">
      <c r="A6" s="140" t="s">
        <v>1680</v>
      </c>
      <c r="B6" s="140" t="s">
        <v>1681</v>
      </c>
      <c r="C6" s="190" t="s">
        <v>97</v>
      </c>
      <c r="D6" s="140" t="s">
        <v>1685</v>
      </c>
      <c r="E6" s="140">
        <v>1</v>
      </c>
      <c r="F6" s="164" t="s">
        <v>1710</v>
      </c>
      <c r="G6" s="233">
        <v>6</v>
      </c>
      <c r="H6" s="234" t="s">
        <v>1622</v>
      </c>
      <c r="I6" s="235">
        <v>225</v>
      </c>
      <c r="J6" s="235">
        <v>225</v>
      </c>
      <c r="K6" s="236">
        <v>1</v>
      </c>
      <c r="L6" s="236">
        <v>1</v>
      </c>
      <c r="M6" s="236">
        <v>1</v>
      </c>
      <c r="N6" s="36" t="s">
        <v>1687</v>
      </c>
    </row>
    <row r="7" spans="1:16" s="8" customFormat="1" ht="214.2" x14ac:dyDescent="0.25">
      <c r="A7" s="140" t="s">
        <v>1680</v>
      </c>
      <c r="B7" s="140" t="s">
        <v>1681</v>
      </c>
      <c r="C7" s="190" t="s">
        <v>942</v>
      </c>
      <c r="D7" s="140" t="s">
        <v>1686</v>
      </c>
      <c r="E7" s="140">
        <v>1</v>
      </c>
      <c r="F7" s="164" t="s">
        <v>1711</v>
      </c>
      <c r="G7" s="239">
        <v>77</v>
      </c>
      <c r="H7" s="234" t="s">
        <v>1622</v>
      </c>
      <c r="I7" s="235">
        <v>400</v>
      </c>
      <c r="J7" s="235">
        <v>500</v>
      </c>
      <c r="K7" s="236">
        <v>1.3</v>
      </c>
      <c r="L7" s="236">
        <v>1.1000000000000001</v>
      </c>
      <c r="M7" s="236">
        <v>1.2</v>
      </c>
      <c r="N7" s="36" t="s">
        <v>1687</v>
      </c>
    </row>
    <row r="8" spans="1:16" s="8" customFormat="1" ht="20.399999999999999" x14ac:dyDescent="0.25">
      <c r="A8" s="140" t="s">
        <v>1674</v>
      </c>
      <c r="B8" s="140" t="s">
        <v>1675</v>
      </c>
      <c r="C8" s="240" t="s">
        <v>21</v>
      </c>
      <c r="D8" s="140"/>
      <c r="E8" s="241">
        <v>1</v>
      </c>
      <c r="F8" s="164" t="s">
        <v>1676</v>
      </c>
      <c r="G8" s="242">
        <v>1</v>
      </c>
      <c r="H8" s="238" t="s">
        <v>14</v>
      </c>
      <c r="I8" s="243">
        <v>4770</v>
      </c>
      <c r="J8" s="243">
        <v>4770</v>
      </c>
      <c r="K8" s="236"/>
      <c r="L8" s="236"/>
      <c r="M8" s="236"/>
      <c r="N8" s="36" t="s">
        <v>1677</v>
      </c>
    </row>
    <row r="9" spans="1:16" s="8" customFormat="1" ht="20.399999999999999" x14ac:dyDescent="0.25">
      <c r="A9" s="140" t="s">
        <v>1674</v>
      </c>
      <c r="B9" s="140" t="s">
        <v>1675</v>
      </c>
      <c r="C9" s="240" t="s">
        <v>21</v>
      </c>
      <c r="D9" s="140" t="s">
        <v>990</v>
      </c>
      <c r="E9" s="140">
        <v>1</v>
      </c>
      <c r="F9" s="244" t="s">
        <v>1709</v>
      </c>
      <c r="G9" s="245">
        <v>1</v>
      </c>
      <c r="H9" s="246" t="s">
        <v>1593</v>
      </c>
      <c r="I9" s="235">
        <v>15945</v>
      </c>
      <c r="J9" s="235">
        <v>15945</v>
      </c>
      <c r="K9" s="236">
        <v>6.28</v>
      </c>
      <c r="L9" s="236">
        <v>1.29</v>
      </c>
      <c r="M9" s="236">
        <v>1.76</v>
      </c>
      <c r="N9" s="98"/>
    </row>
    <row r="10" spans="1:16" s="8" customFormat="1" ht="20.399999999999999" x14ac:dyDescent="0.25">
      <c r="A10" s="140" t="s">
        <v>1674</v>
      </c>
      <c r="B10" s="140" t="s">
        <v>1675</v>
      </c>
      <c r="C10" s="240" t="s">
        <v>21</v>
      </c>
      <c r="D10" s="140" t="s">
        <v>990</v>
      </c>
      <c r="E10" s="140">
        <v>1</v>
      </c>
      <c r="F10" s="164" t="s">
        <v>1706</v>
      </c>
      <c r="G10" s="237">
        <v>1</v>
      </c>
      <c r="H10" s="238" t="s">
        <v>1593</v>
      </c>
      <c r="I10" s="235">
        <v>430</v>
      </c>
      <c r="J10" s="235">
        <v>430</v>
      </c>
      <c r="K10" s="236">
        <v>3.03</v>
      </c>
      <c r="L10" s="236">
        <v>1.24</v>
      </c>
      <c r="M10" s="236">
        <v>0.85</v>
      </c>
      <c r="N10" s="98"/>
    </row>
    <row r="11" spans="1:16" s="8" customFormat="1" ht="20.399999999999999" x14ac:dyDescent="0.25">
      <c r="A11" s="140" t="s">
        <v>1674</v>
      </c>
      <c r="B11" s="140" t="s">
        <v>1675</v>
      </c>
      <c r="C11" s="240" t="s">
        <v>21</v>
      </c>
      <c r="D11" s="140" t="s">
        <v>990</v>
      </c>
      <c r="E11" s="140">
        <v>1</v>
      </c>
      <c r="F11" s="164" t="s">
        <v>1707</v>
      </c>
      <c r="G11" s="239">
        <v>1</v>
      </c>
      <c r="H11" s="238" t="s">
        <v>1593</v>
      </c>
      <c r="I11" s="235">
        <v>2000</v>
      </c>
      <c r="J11" s="235">
        <v>2000</v>
      </c>
      <c r="K11" s="236">
        <v>1.6</v>
      </c>
      <c r="L11" s="236">
        <v>1.1499999999999999</v>
      </c>
      <c r="M11" s="236">
        <v>1.1499999999999999</v>
      </c>
      <c r="N11" s="98"/>
    </row>
    <row r="12" spans="1:16" s="8" customFormat="1" ht="20.399999999999999" x14ac:dyDescent="0.25">
      <c r="A12" s="140" t="s">
        <v>1674</v>
      </c>
      <c r="B12" s="140" t="s">
        <v>1675</v>
      </c>
      <c r="C12" s="240" t="s">
        <v>21</v>
      </c>
      <c r="D12" s="140" t="s">
        <v>990</v>
      </c>
      <c r="E12" s="140">
        <v>1</v>
      </c>
      <c r="F12" s="164" t="s">
        <v>1708</v>
      </c>
      <c r="G12" s="233">
        <v>3</v>
      </c>
      <c r="H12" s="234" t="s">
        <v>1622</v>
      </c>
      <c r="I12" s="235">
        <v>80</v>
      </c>
      <c r="J12" s="235">
        <v>80</v>
      </c>
      <c r="K12" s="236">
        <v>2</v>
      </c>
      <c r="L12" s="236">
        <v>0.8</v>
      </c>
      <c r="M12" s="236">
        <v>0.4</v>
      </c>
      <c r="N12" s="98"/>
    </row>
    <row r="13" spans="1:16" s="8" customFormat="1" ht="61.2" x14ac:dyDescent="0.25">
      <c r="A13" s="140" t="s">
        <v>1674</v>
      </c>
      <c r="B13" s="140" t="s">
        <v>1675</v>
      </c>
      <c r="C13" s="240" t="s">
        <v>21</v>
      </c>
      <c r="D13" s="140" t="s">
        <v>990</v>
      </c>
      <c r="E13" s="140">
        <v>1</v>
      </c>
      <c r="F13" s="164" t="s">
        <v>1712</v>
      </c>
      <c r="G13" s="233">
        <v>6</v>
      </c>
      <c r="H13" s="234" t="s">
        <v>1622</v>
      </c>
      <c r="I13" s="235">
        <v>225</v>
      </c>
      <c r="J13" s="235">
        <v>225</v>
      </c>
      <c r="K13" s="236">
        <v>0.9</v>
      </c>
      <c r="L13" s="236">
        <v>0.8</v>
      </c>
      <c r="M13" s="236">
        <v>1</v>
      </c>
      <c r="N13" s="98"/>
    </row>
    <row r="14" spans="1:16" s="8" customFormat="1" ht="183.6" x14ac:dyDescent="0.25">
      <c r="A14" s="140" t="s">
        <v>1674</v>
      </c>
      <c r="B14" s="140" t="s">
        <v>1675</v>
      </c>
      <c r="C14" s="190" t="s">
        <v>942</v>
      </c>
      <c r="D14" s="140" t="s">
        <v>990</v>
      </c>
      <c r="E14" s="140">
        <v>1</v>
      </c>
      <c r="F14" s="164" t="s">
        <v>1713</v>
      </c>
      <c r="G14" s="239">
        <v>131</v>
      </c>
      <c r="H14" s="234" t="s">
        <v>1622</v>
      </c>
      <c r="I14" s="235">
        <v>310</v>
      </c>
      <c r="J14" s="235">
        <v>425</v>
      </c>
      <c r="K14" s="236">
        <v>1.28</v>
      </c>
      <c r="L14" s="236">
        <v>1.1000000000000001</v>
      </c>
      <c r="M14" s="236">
        <v>1.24</v>
      </c>
      <c r="N14" s="98"/>
    </row>
    <row r="15" spans="1:16" s="8" customFormat="1" ht="13.8" x14ac:dyDescent="0.25">
      <c r="A15" s="111"/>
      <c r="B15" s="111"/>
      <c r="C15" s="30"/>
      <c r="D15" s="29"/>
      <c r="E15" s="29"/>
      <c r="F15" s="58"/>
      <c r="G15" s="70"/>
      <c r="H15" s="71"/>
      <c r="I15" s="59"/>
      <c r="J15" s="59"/>
      <c r="K15" s="86"/>
      <c r="L15" s="86"/>
      <c r="M15" s="86"/>
      <c r="N15" s="98"/>
    </row>
    <row r="16" spans="1:16" s="8" customFormat="1" ht="13.8" x14ac:dyDescent="0.25">
      <c r="A16" s="111"/>
      <c r="B16" s="111"/>
      <c r="C16" s="30"/>
      <c r="D16" s="29"/>
      <c r="E16" s="29"/>
      <c r="F16" s="58"/>
      <c r="G16" s="70"/>
      <c r="H16" s="71"/>
      <c r="I16" s="59"/>
      <c r="J16" s="59"/>
      <c r="K16" s="86"/>
      <c r="L16" s="86"/>
      <c r="M16" s="86"/>
      <c r="N16" s="98"/>
    </row>
    <row r="17" spans="1:14" s="8" customFormat="1" ht="13.8" x14ac:dyDescent="0.25">
      <c r="A17" s="111"/>
      <c r="B17" s="111"/>
      <c r="C17" s="30"/>
      <c r="D17" s="29"/>
      <c r="E17" s="29"/>
      <c r="F17" s="58"/>
      <c r="G17" s="70"/>
      <c r="H17" s="71"/>
      <c r="I17" s="59"/>
      <c r="J17" s="59"/>
      <c r="K17" s="86"/>
      <c r="L17" s="86"/>
      <c r="M17" s="86"/>
      <c r="N17" s="98"/>
    </row>
    <row r="18" spans="1:14" s="8" customFormat="1" ht="13.8" x14ac:dyDescent="0.25">
      <c r="A18" s="111"/>
      <c r="B18" s="111"/>
      <c r="C18" s="30"/>
      <c r="D18" s="29"/>
      <c r="E18" s="29"/>
      <c r="F18" s="58"/>
      <c r="G18" s="70"/>
      <c r="H18" s="71"/>
      <c r="I18" s="59"/>
      <c r="J18" s="59"/>
      <c r="K18" s="86"/>
      <c r="L18" s="86"/>
      <c r="M18" s="86"/>
      <c r="N18" s="98"/>
    </row>
    <row r="19" spans="1:14" s="8" customFormat="1" ht="13.8" x14ac:dyDescent="0.25">
      <c r="A19" s="111"/>
      <c r="B19" s="111"/>
      <c r="C19" s="30"/>
      <c r="D19" s="29"/>
      <c r="E19" s="29"/>
      <c r="F19" s="58"/>
      <c r="G19" s="70"/>
      <c r="H19" s="71"/>
      <c r="I19" s="59"/>
      <c r="J19" s="59"/>
      <c r="K19" s="86"/>
      <c r="L19" s="86"/>
      <c r="M19" s="86"/>
      <c r="N19" s="98"/>
    </row>
    <row r="20" spans="1:14" s="8" customFormat="1" ht="13.8" x14ac:dyDescent="0.25">
      <c r="A20" s="111"/>
      <c r="B20" s="111"/>
      <c r="C20" s="30"/>
      <c r="D20" s="29"/>
      <c r="E20" s="29"/>
      <c r="F20" s="58"/>
      <c r="G20" s="70"/>
      <c r="H20" s="71"/>
      <c r="I20" s="59"/>
      <c r="J20" s="59"/>
      <c r="K20" s="86"/>
      <c r="L20" s="86"/>
      <c r="M20" s="86"/>
      <c r="N20" s="98"/>
    </row>
    <row r="21" spans="1:14" s="8" customFormat="1" ht="13.8" x14ac:dyDescent="0.25">
      <c r="A21" s="111"/>
      <c r="B21" s="111"/>
      <c r="C21" s="30"/>
      <c r="D21" s="29"/>
      <c r="E21" s="29"/>
      <c r="F21" s="58"/>
      <c r="G21" s="70"/>
      <c r="H21" s="71"/>
      <c r="I21" s="59"/>
      <c r="J21" s="59"/>
      <c r="K21" s="86"/>
      <c r="L21" s="86"/>
      <c r="M21" s="86"/>
      <c r="N21" s="98"/>
    </row>
    <row r="22" spans="1:14" s="8" customFormat="1" ht="13.8" x14ac:dyDescent="0.25">
      <c r="A22" s="111"/>
      <c r="B22" s="111"/>
      <c r="C22" s="30"/>
      <c r="D22" s="29"/>
      <c r="E22" s="29"/>
      <c r="F22" s="58"/>
      <c r="G22" s="70"/>
      <c r="H22" s="71"/>
      <c r="I22" s="59"/>
      <c r="J22" s="59"/>
      <c r="K22" s="86"/>
      <c r="L22" s="86"/>
      <c r="M22" s="86"/>
      <c r="N22" s="98"/>
    </row>
    <row r="23" spans="1:14" s="8" customFormat="1" ht="13.8" x14ac:dyDescent="0.25">
      <c r="A23" s="111"/>
      <c r="B23" s="111"/>
      <c r="C23" s="30"/>
      <c r="D23" s="29"/>
      <c r="E23" s="29"/>
      <c r="F23" s="58"/>
      <c r="G23" s="70"/>
      <c r="H23" s="71"/>
      <c r="I23" s="59"/>
      <c r="J23" s="59"/>
      <c r="K23" s="86"/>
      <c r="L23" s="86"/>
      <c r="M23" s="86"/>
      <c r="N23" s="98"/>
    </row>
    <row r="24" spans="1:14" s="8" customFormat="1" ht="13.8" x14ac:dyDescent="0.25">
      <c r="A24" s="111"/>
      <c r="B24" s="111"/>
      <c r="C24" s="30"/>
      <c r="D24" s="29"/>
      <c r="E24" s="29"/>
      <c r="F24" s="58"/>
      <c r="G24" s="70"/>
      <c r="H24" s="71"/>
      <c r="I24" s="59"/>
      <c r="J24" s="59"/>
      <c r="K24" s="86"/>
      <c r="L24" s="86"/>
      <c r="M24" s="86"/>
      <c r="N24" s="98"/>
    </row>
    <row r="25" spans="1:14" s="8" customFormat="1" ht="13.8" x14ac:dyDescent="0.25">
      <c r="A25" s="111"/>
      <c r="B25" s="111"/>
      <c r="C25" s="30"/>
      <c r="D25" s="29"/>
      <c r="E25" s="29"/>
      <c r="F25" s="58"/>
      <c r="G25" s="70"/>
      <c r="H25" s="71"/>
      <c r="I25" s="59"/>
      <c r="J25" s="59"/>
      <c r="K25" s="86"/>
      <c r="L25" s="86"/>
      <c r="M25" s="86"/>
      <c r="N25" s="98"/>
    </row>
    <row r="26" spans="1:14" s="8" customFormat="1" ht="13.8" x14ac:dyDescent="0.25">
      <c r="A26" s="111"/>
      <c r="B26" s="111"/>
      <c r="C26" s="30"/>
      <c r="D26" s="29"/>
      <c r="E26" s="29"/>
      <c r="F26" s="58"/>
      <c r="G26" s="70"/>
      <c r="H26" s="71"/>
      <c r="I26" s="59"/>
      <c r="J26" s="59"/>
      <c r="K26" s="86"/>
      <c r="L26" s="86"/>
      <c r="M26" s="86"/>
      <c r="N26" s="98"/>
    </row>
    <row r="27" spans="1:14" s="8" customFormat="1" ht="13.8" x14ac:dyDescent="0.25">
      <c r="A27" s="111"/>
      <c r="B27" s="111"/>
      <c r="C27" s="30"/>
      <c r="D27" s="29"/>
      <c r="E27" s="29"/>
      <c r="F27" s="58"/>
      <c r="G27" s="70"/>
      <c r="H27" s="71"/>
      <c r="I27" s="59"/>
      <c r="J27" s="59"/>
      <c r="K27" s="86"/>
      <c r="L27" s="86"/>
      <c r="M27" s="86"/>
      <c r="N27" s="98"/>
    </row>
    <row r="28" spans="1:14" s="9" customFormat="1" ht="13.8" x14ac:dyDescent="0.25">
      <c r="A28" s="111"/>
      <c r="B28" s="111"/>
      <c r="C28" s="30"/>
      <c r="D28" s="29"/>
      <c r="E28" s="29"/>
      <c r="F28" s="58"/>
      <c r="G28" s="70"/>
      <c r="H28" s="71"/>
      <c r="I28" s="59"/>
      <c r="J28" s="59"/>
      <c r="K28" s="86"/>
      <c r="L28" s="86"/>
      <c r="M28" s="86"/>
      <c r="N28" s="98"/>
    </row>
    <row r="29" spans="1:14" s="9" customFormat="1" ht="13.8" x14ac:dyDescent="0.25">
      <c r="A29" s="111"/>
      <c r="B29" s="111"/>
      <c r="C29" s="30"/>
      <c r="D29" s="29"/>
      <c r="E29" s="29"/>
      <c r="F29" s="58"/>
      <c r="G29" s="70"/>
      <c r="H29" s="71"/>
      <c r="I29" s="59"/>
      <c r="J29" s="59"/>
      <c r="K29" s="86"/>
      <c r="L29" s="86"/>
      <c r="M29" s="86"/>
      <c r="N29" s="98"/>
    </row>
    <row r="30" spans="1:14" s="9" customFormat="1" ht="13.8" x14ac:dyDescent="0.25">
      <c r="A30" s="111"/>
      <c r="B30" s="111"/>
      <c r="C30" s="30"/>
      <c r="D30" s="29"/>
      <c r="E30" s="29"/>
      <c r="F30" s="58"/>
      <c r="G30" s="70"/>
      <c r="H30" s="71"/>
      <c r="I30" s="59"/>
      <c r="J30" s="59"/>
      <c r="K30" s="86"/>
      <c r="L30" s="86"/>
      <c r="M30" s="86"/>
      <c r="N30" s="98"/>
    </row>
    <row r="31" spans="1:14" s="9" customFormat="1" ht="13.8" x14ac:dyDescent="0.25">
      <c r="A31" s="111"/>
      <c r="B31" s="111"/>
      <c r="C31" s="30"/>
      <c r="D31" s="29"/>
      <c r="E31" s="29"/>
      <c r="F31" s="58"/>
      <c r="G31" s="70"/>
      <c r="H31" s="71"/>
      <c r="I31" s="59"/>
      <c r="J31" s="59"/>
      <c r="K31" s="86"/>
      <c r="L31" s="86"/>
      <c r="M31" s="86"/>
      <c r="N31" s="98"/>
    </row>
    <row r="32" spans="1:14" s="9" customFormat="1" ht="13.8" x14ac:dyDescent="0.25">
      <c r="A32" s="111"/>
      <c r="B32" s="111"/>
      <c r="C32" s="30"/>
      <c r="D32" s="29"/>
      <c r="E32" s="29"/>
      <c r="F32" s="58"/>
      <c r="G32" s="70"/>
      <c r="H32" s="71"/>
      <c r="I32" s="59"/>
      <c r="J32" s="59"/>
      <c r="K32" s="86"/>
      <c r="L32" s="86"/>
      <c r="M32" s="86"/>
      <c r="N32" s="98"/>
    </row>
    <row r="33" spans="1:14" s="9" customFormat="1" ht="13.8" x14ac:dyDescent="0.25">
      <c r="A33" s="111"/>
      <c r="B33" s="111"/>
      <c r="C33" s="30"/>
      <c r="D33" s="29"/>
      <c r="E33" s="29"/>
      <c r="F33" s="58"/>
      <c r="G33" s="70"/>
      <c r="H33" s="71"/>
      <c r="I33" s="59"/>
      <c r="J33" s="59"/>
      <c r="K33" s="86"/>
      <c r="L33" s="86"/>
      <c r="M33" s="86"/>
      <c r="N33" s="98"/>
    </row>
    <row r="34" spans="1:14" s="9" customFormat="1" ht="13.8" x14ac:dyDescent="0.25">
      <c r="A34" s="111"/>
      <c r="B34" s="111"/>
      <c r="C34" s="30"/>
      <c r="D34" s="29"/>
      <c r="E34" s="29"/>
      <c r="F34" s="58"/>
      <c r="G34" s="70"/>
      <c r="H34" s="71"/>
      <c r="I34" s="59"/>
      <c r="J34" s="59"/>
      <c r="K34" s="86"/>
      <c r="L34" s="86"/>
      <c r="M34" s="86"/>
      <c r="N34" s="98"/>
    </row>
    <row r="35" spans="1:14" s="9" customFormat="1" ht="13.8" x14ac:dyDescent="0.25">
      <c r="A35" s="111"/>
      <c r="B35" s="111"/>
      <c r="C35" s="30"/>
      <c r="D35" s="29"/>
      <c r="E35" s="29"/>
      <c r="F35" s="58"/>
      <c r="G35" s="70"/>
      <c r="H35" s="71"/>
      <c r="I35" s="59"/>
      <c r="J35" s="59"/>
      <c r="K35" s="86"/>
      <c r="L35" s="86"/>
      <c r="M35" s="86"/>
      <c r="N35" s="98"/>
    </row>
    <row r="36" spans="1:14" s="9" customFormat="1" ht="13.8" x14ac:dyDescent="0.25">
      <c r="A36" s="111"/>
      <c r="B36" s="111"/>
      <c r="C36" s="30"/>
      <c r="D36" s="29"/>
      <c r="E36" s="29"/>
      <c r="F36" s="58"/>
      <c r="G36" s="70"/>
      <c r="H36" s="71"/>
      <c r="I36" s="59"/>
      <c r="J36" s="59"/>
      <c r="K36" s="86"/>
      <c r="L36" s="86"/>
      <c r="M36" s="86"/>
      <c r="N36" s="98"/>
    </row>
    <row r="37" spans="1:14" s="9" customFormat="1" ht="13.8" x14ac:dyDescent="0.25">
      <c r="A37" s="111"/>
      <c r="B37" s="111"/>
      <c r="C37" s="30"/>
      <c r="D37" s="29"/>
      <c r="E37" s="29"/>
      <c r="F37" s="58"/>
      <c r="G37" s="70"/>
      <c r="H37" s="71"/>
      <c r="I37" s="59"/>
      <c r="J37" s="59"/>
      <c r="K37" s="86"/>
      <c r="L37" s="86"/>
      <c r="M37" s="86"/>
      <c r="N37" s="98"/>
    </row>
    <row r="38" spans="1:14" s="9" customFormat="1" ht="13.8" x14ac:dyDescent="0.25">
      <c r="A38" s="111"/>
      <c r="B38" s="111"/>
      <c r="C38" s="30"/>
      <c r="D38" s="29"/>
      <c r="E38" s="29"/>
      <c r="F38" s="58"/>
      <c r="G38" s="70"/>
      <c r="H38" s="71"/>
      <c r="I38" s="59"/>
      <c r="J38" s="59"/>
      <c r="K38" s="86"/>
      <c r="L38" s="86"/>
      <c r="M38" s="86"/>
      <c r="N38" s="98"/>
    </row>
    <row r="39" spans="1:14" s="9" customFormat="1" ht="13.8" x14ac:dyDescent="0.25">
      <c r="A39" s="111"/>
      <c r="B39" s="111"/>
      <c r="C39" s="30"/>
      <c r="D39" s="29"/>
      <c r="E39" s="29"/>
      <c r="F39" s="58"/>
      <c r="G39" s="70"/>
      <c r="H39" s="71"/>
      <c r="I39" s="59"/>
      <c r="J39" s="59"/>
      <c r="K39" s="86"/>
      <c r="L39" s="86"/>
      <c r="M39" s="86"/>
      <c r="N39" s="98"/>
    </row>
    <row r="40" spans="1:14" s="9" customFormat="1" ht="13.8" x14ac:dyDescent="0.25">
      <c r="A40" s="111"/>
      <c r="B40" s="111"/>
      <c r="C40" s="30"/>
      <c r="D40" s="29"/>
      <c r="E40" s="29"/>
      <c r="F40" s="58"/>
      <c r="G40" s="70"/>
      <c r="H40" s="71"/>
      <c r="I40" s="59"/>
      <c r="J40" s="59"/>
      <c r="K40" s="86"/>
      <c r="L40" s="86"/>
      <c r="M40" s="86"/>
      <c r="N40" s="98"/>
    </row>
    <row r="41" spans="1:14" s="9" customFormat="1" ht="13.8" x14ac:dyDescent="0.25">
      <c r="A41" s="111"/>
      <c r="B41" s="111"/>
      <c r="C41" s="30"/>
      <c r="D41" s="29"/>
      <c r="E41" s="29"/>
      <c r="F41" s="58"/>
      <c r="G41" s="70"/>
      <c r="H41" s="71"/>
      <c r="I41" s="64"/>
      <c r="J41" s="64"/>
      <c r="K41" s="86"/>
      <c r="L41" s="86"/>
      <c r="M41" s="86"/>
      <c r="N41" s="98"/>
    </row>
    <row r="42" spans="1:14" s="9" customFormat="1" ht="13.8" x14ac:dyDescent="0.25">
      <c r="A42" s="111"/>
      <c r="B42" s="111"/>
      <c r="C42" s="30"/>
      <c r="D42" s="29"/>
      <c r="E42" s="29"/>
      <c r="F42" s="58"/>
      <c r="G42" s="70"/>
      <c r="H42" s="71"/>
      <c r="I42" s="64"/>
      <c r="J42" s="64"/>
      <c r="K42" s="86"/>
      <c r="L42" s="86"/>
      <c r="M42" s="86"/>
      <c r="N42" s="98"/>
    </row>
    <row r="43" spans="1:14" s="9" customFormat="1" ht="13.8" x14ac:dyDescent="0.25">
      <c r="A43" s="111"/>
      <c r="B43" s="111"/>
      <c r="C43" s="30"/>
      <c r="D43" s="29"/>
      <c r="E43" s="29"/>
      <c r="F43" s="58"/>
      <c r="G43" s="211"/>
      <c r="H43" s="133"/>
      <c r="I43" s="59"/>
      <c r="J43" s="59"/>
      <c r="K43" s="86"/>
      <c r="L43" s="86"/>
      <c r="M43" s="86"/>
      <c r="N43" s="98"/>
    </row>
    <row r="44" spans="1:14" s="9" customFormat="1" ht="13.8" x14ac:dyDescent="0.25">
      <c r="A44" s="111"/>
      <c r="B44" s="111"/>
      <c r="C44" s="30"/>
      <c r="D44" s="29"/>
      <c r="E44" s="29"/>
      <c r="F44" s="58"/>
      <c r="G44" s="70"/>
      <c r="H44" s="71"/>
      <c r="I44" s="59"/>
      <c r="J44" s="59"/>
      <c r="K44" s="86"/>
      <c r="L44" s="86"/>
      <c r="M44" s="86"/>
      <c r="N44" s="98"/>
    </row>
    <row r="45" spans="1:14" s="9" customFormat="1" ht="13.8" x14ac:dyDescent="0.25">
      <c r="A45" s="111"/>
      <c r="B45" s="111"/>
      <c r="C45" s="30"/>
      <c r="D45" s="29"/>
      <c r="E45" s="29"/>
      <c r="F45" s="212"/>
      <c r="G45" s="211"/>
      <c r="H45" s="133"/>
      <c r="I45" s="59"/>
      <c r="J45" s="59"/>
      <c r="K45" s="86"/>
      <c r="L45" s="86"/>
      <c r="M45" s="86"/>
      <c r="N45" s="98"/>
    </row>
    <row r="46" spans="1:14" s="9" customFormat="1" ht="13.8" x14ac:dyDescent="0.25">
      <c r="A46" s="111"/>
      <c r="B46" s="111"/>
      <c r="C46" s="30"/>
      <c r="D46" s="29"/>
      <c r="E46" s="29"/>
      <c r="F46" s="212"/>
      <c r="G46" s="211"/>
      <c r="H46" s="133"/>
      <c r="I46" s="59"/>
      <c r="J46" s="59"/>
      <c r="K46" s="86"/>
      <c r="L46" s="86"/>
      <c r="M46" s="86"/>
      <c r="N46" s="98"/>
    </row>
    <row r="47" spans="1:14" s="9" customFormat="1" ht="13.8" x14ac:dyDescent="0.25">
      <c r="A47" s="111"/>
      <c r="B47" s="111"/>
      <c r="C47" s="30"/>
      <c r="D47" s="29"/>
      <c r="E47" s="29"/>
      <c r="F47" s="58"/>
      <c r="G47" s="211"/>
      <c r="H47" s="133"/>
      <c r="I47" s="59"/>
      <c r="J47" s="59"/>
      <c r="K47" s="86"/>
      <c r="L47" s="86"/>
      <c r="M47" s="86"/>
      <c r="N47" s="98"/>
    </row>
    <row r="48" spans="1:14" s="9" customFormat="1" ht="13.8" x14ac:dyDescent="0.25">
      <c r="A48" s="111"/>
      <c r="B48" s="111"/>
      <c r="C48" s="30"/>
      <c r="D48" s="29"/>
      <c r="E48" s="29"/>
      <c r="F48" s="58"/>
      <c r="G48" s="211"/>
      <c r="H48" s="133"/>
      <c r="I48" s="59"/>
      <c r="J48" s="59"/>
      <c r="K48" s="86"/>
      <c r="L48" s="86"/>
      <c r="M48" s="86"/>
      <c r="N48" s="98"/>
    </row>
    <row r="49" spans="1:14" s="9" customFormat="1" ht="13.8" x14ac:dyDescent="0.25">
      <c r="A49" s="111"/>
      <c r="B49" s="111"/>
      <c r="C49" s="30"/>
      <c r="D49" s="29"/>
      <c r="E49" s="29"/>
      <c r="F49" s="58"/>
      <c r="G49" s="70"/>
      <c r="H49" s="71"/>
      <c r="I49" s="59"/>
      <c r="J49" s="59"/>
      <c r="K49" s="86"/>
      <c r="L49" s="86"/>
      <c r="M49" s="86"/>
      <c r="N49" s="98"/>
    </row>
    <row r="50" spans="1:14" s="9" customFormat="1" ht="13.8" x14ac:dyDescent="0.25">
      <c r="A50" s="111"/>
      <c r="B50" s="111"/>
      <c r="C50" s="30"/>
      <c r="D50" s="29"/>
      <c r="E50" s="29"/>
      <c r="F50" s="58"/>
      <c r="G50" s="70"/>
      <c r="H50" s="71"/>
      <c r="I50" s="59"/>
      <c r="J50" s="59"/>
      <c r="K50" s="86"/>
      <c r="L50" s="86"/>
      <c r="M50" s="86"/>
      <c r="N50" s="98"/>
    </row>
    <row r="51" spans="1:14" s="9" customFormat="1" ht="13.8" x14ac:dyDescent="0.25">
      <c r="A51" s="111"/>
      <c r="B51" s="111"/>
      <c r="C51" s="30"/>
      <c r="D51" s="29"/>
      <c r="E51" s="29"/>
      <c r="F51" s="58"/>
      <c r="G51" s="70"/>
      <c r="H51" s="71"/>
      <c r="I51" s="59"/>
      <c r="J51" s="59"/>
      <c r="K51" s="86"/>
      <c r="L51" s="86"/>
      <c r="M51" s="86"/>
      <c r="N51" s="98"/>
    </row>
    <row r="52" spans="1:14" s="9" customFormat="1" ht="13.8" x14ac:dyDescent="0.25">
      <c r="A52" s="111"/>
      <c r="B52" s="111"/>
      <c r="C52" s="30"/>
      <c r="D52" s="29"/>
      <c r="E52" s="29"/>
      <c r="F52" s="58"/>
      <c r="G52" s="70"/>
      <c r="H52" s="71"/>
      <c r="I52" s="59"/>
      <c r="J52" s="59"/>
      <c r="K52" s="86"/>
      <c r="L52" s="86"/>
      <c r="M52" s="86"/>
      <c r="N52" s="98"/>
    </row>
    <row r="53" spans="1:14" s="9" customFormat="1" ht="13.8" x14ac:dyDescent="0.25">
      <c r="A53" s="111"/>
      <c r="B53" s="111"/>
      <c r="C53" s="30"/>
      <c r="D53" s="29"/>
      <c r="E53" s="29"/>
      <c r="F53" s="58"/>
      <c r="G53" s="70"/>
      <c r="H53" s="71"/>
      <c r="I53" s="59"/>
      <c r="J53" s="59"/>
      <c r="K53" s="86"/>
      <c r="L53" s="86"/>
      <c r="M53" s="86"/>
      <c r="N53" s="98"/>
    </row>
    <row r="54" spans="1:14" s="9" customFormat="1" ht="13.8" x14ac:dyDescent="0.25">
      <c r="A54" s="111"/>
      <c r="B54" s="111"/>
      <c r="C54" s="30"/>
      <c r="D54" s="29"/>
      <c r="E54" s="29"/>
      <c r="F54" s="58"/>
      <c r="G54" s="70"/>
      <c r="H54" s="71"/>
      <c r="I54" s="64"/>
      <c r="J54" s="64"/>
      <c r="K54" s="86"/>
      <c r="L54" s="86"/>
      <c r="M54" s="86"/>
      <c r="N54" s="98"/>
    </row>
    <row r="55" spans="1:14" s="9" customFormat="1" ht="13.8" x14ac:dyDescent="0.25">
      <c r="A55" s="111"/>
      <c r="B55" s="111"/>
      <c r="C55" s="30"/>
      <c r="D55" s="29"/>
      <c r="E55" s="29"/>
      <c r="F55" s="58"/>
      <c r="G55" s="70"/>
      <c r="H55" s="71"/>
      <c r="I55" s="59"/>
      <c r="J55" s="59"/>
      <c r="K55" s="86"/>
      <c r="L55" s="86"/>
      <c r="M55" s="86"/>
      <c r="N55" s="98"/>
    </row>
    <row r="56" spans="1:14" s="9" customFormat="1" ht="13.8" x14ac:dyDescent="0.25">
      <c r="A56" s="111"/>
      <c r="B56" s="111"/>
      <c r="C56" s="30"/>
      <c r="D56" s="29"/>
      <c r="E56" s="29"/>
      <c r="F56" s="58"/>
      <c r="G56" s="70"/>
      <c r="H56" s="71"/>
      <c r="I56" s="64"/>
      <c r="J56" s="64"/>
      <c r="K56" s="86"/>
      <c r="L56" s="86"/>
      <c r="M56" s="86"/>
      <c r="N56" s="98"/>
    </row>
    <row r="57" spans="1:14" s="9" customFormat="1" ht="13.8" x14ac:dyDescent="0.25">
      <c r="A57" s="111"/>
      <c r="B57" s="111"/>
      <c r="C57" s="30"/>
      <c r="D57" s="29"/>
      <c r="E57" s="29"/>
      <c r="F57" s="58"/>
      <c r="G57" s="211"/>
      <c r="H57" s="133"/>
      <c r="I57" s="59"/>
      <c r="J57" s="59"/>
      <c r="K57" s="86"/>
      <c r="L57" s="86"/>
      <c r="M57" s="86"/>
      <c r="N57" s="98"/>
    </row>
    <row r="58" spans="1:14" s="9" customFormat="1" ht="13.8" x14ac:dyDescent="0.25">
      <c r="A58" s="111"/>
      <c r="B58" s="111"/>
      <c r="C58" s="30"/>
      <c r="D58" s="29"/>
      <c r="E58" s="29"/>
      <c r="F58" s="212"/>
      <c r="G58" s="211"/>
      <c r="H58" s="133"/>
      <c r="I58" s="59"/>
      <c r="J58" s="59"/>
      <c r="K58" s="86"/>
      <c r="L58" s="86"/>
      <c r="M58" s="86"/>
      <c r="N58" s="98"/>
    </row>
    <row r="59" spans="1:14" s="9" customFormat="1" ht="13.8" x14ac:dyDescent="0.25">
      <c r="A59" s="111"/>
      <c r="B59" s="111"/>
      <c r="C59" s="30"/>
      <c r="D59" s="29"/>
      <c r="E59" s="29"/>
      <c r="F59" s="213"/>
      <c r="G59" s="70"/>
      <c r="H59" s="157"/>
      <c r="I59" s="64"/>
      <c r="J59" s="64"/>
      <c r="K59" s="86"/>
      <c r="L59" s="86"/>
      <c r="M59" s="86"/>
      <c r="N59" s="98"/>
    </row>
    <row r="60" spans="1:14" s="9" customFormat="1" ht="13.8" x14ac:dyDescent="0.25">
      <c r="A60" s="111"/>
      <c r="B60" s="111"/>
      <c r="C60" s="30"/>
      <c r="D60" s="29"/>
      <c r="E60" s="29"/>
      <c r="F60" s="58"/>
      <c r="G60" s="70"/>
      <c r="H60" s="71"/>
      <c r="I60" s="64"/>
      <c r="J60" s="64"/>
      <c r="K60" s="86"/>
      <c r="L60" s="86"/>
      <c r="M60" s="86"/>
      <c r="N60" s="98"/>
    </row>
    <row r="61" spans="1:14" s="9" customFormat="1" ht="13.8" x14ac:dyDescent="0.25">
      <c r="A61" s="111"/>
      <c r="B61" s="111"/>
      <c r="C61" s="30"/>
      <c r="D61" s="29"/>
      <c r="E61" s="29"/>
      <c r="F61" s="58"/>
      <c r="G61" s="70"/>
      <c r="H61" s="71"/>
      <c r="I61" s="64"/>
      <c r="J61" s="64"/>
      <c r="K61" s="86"/>
      <c r="L61" s="86"/>
      <c r="M61" s="86"/>
      <c r="N61" s="98"/>
    </row>
    <row r="62" spans="1:14" s="9" customFormat="1" ht="13.8" x14ac:dyDescent="0.25">
      <c r="A62" s="111"/>
      <c r="B62" s="111"/>
      <c r="C62" s="30"/>
      <c r="D62" s="29"/>
      <c r="E62" s="29"/>
      <c r="F62" s="58"/>
      <c r="G62" s="211"/>
      <c r="H62" s="133"/>
      <c r="I62" s="59"/>
      <c r="J62" s="59"/>
      <c r="K62" s="86"/>
      <c r="L62" s="86"/>
      <c r="M62" s="86"/>
      <c r="N62" s="98"/>
    </row>
    <row r="63" spans="1:14" s="9" customFormat="1" ht="13.8" x14ac:dyDescent="0.25">
      <c r="A63" s="111"/>
      <c r="B63" s="111"/>
      <c r="C63" s="30"/>
      <c r="D63" s="29"/>
      <c r="E63" s="29"/>
      <c r="F63" s="213"/>
      <c r="G63" s="211"/>
      <c r="H63" s="133"/>
      <c r="I63" s="59"/>
      <c r="J63" s="59"/>
      <c r="K63" s="86"/>
      <c r="L63" s="86"/>
      <c r="M63" s="86"/>
      <c r="N63" s="98"/>
    </row>
    <row r="64" spans="1:14" s="9" customFormat="1" ht="13.8" x14ac:dyDescent="0.25">
      <c r="A64" s="111"/>
      <c r="B64" s="111"/>
      <c r="C64" s="30"/>
      <c r="D64" s="29"/>
      <c r="E64" s="29"/>
      <c r="F64" s="213"/>
      <c r="G64" s="211"/>
      <c r="H64" s="133"/>
      <c r="I64" s="59"/>
      <c r="J64" s="59"/>
      <c r="K64" s="86"/>
      <c r="L64" s="86"/>
      <c r="M64" s="86"/>
      <c r="N64" s="98"/>
    </row>
    <row r="65" spans="1:14" s="9" customFormat="1" ht="13.8" x14ac:dyDescent="0.25">
      <c r="A65" s="111"/>
      <c r="B65" s="111"/>
      <c r="C65" s="30"/>
      <c r="D65" s="29"/>
      <c r="E65" s="29"/>
      <c r="F65" s="58"/>
      <c r="G65" s="70"/>
      <c r="H65" s="71"/>
      <c r="I65" s="64"/>
      <c r="J65" s="64"/>
      <c r="K65" s="86"/>
      <c r="L65" s="86"/>
      <c r="M65" s="86"/>
      <c r="N65" s="98"/>
    </row>
    <row r="66" spans="1:14" s="9" customFormat="1" ht="13.8" x14ac:dyDescent="0.25">
      <c r="A66" s="111"/>
      <c r="B66" s="111"/>
      <c r="C66" s="30"/>
      <c r="D66" s="29"/>
      <c r="E66" s="29"/>
      <c r="F66" s="58"/>
      <c r="G66" s="70"/>
      <c r="H66" s="71"/>
      <c r="I66" s="64"/>
      <c r="J66" s="64"/>
      <c r="K66" s="86"/>
      <c r="L66" s="86"/>
      <c r="M66" s="86"/>
      <c r="N66" s="98"/>
    </row>
    <row r="67" spans="1:14" s="9" customFormat="1" ht="13.8" x14ac:dyDescent="0.25">
      <c r="A67" s="111"/>
      <c r="B67" s="111"/>
      <c r="C67" s="30"/>
      <c r="D67" s="29"/>
      <c r="E67" s="29"/>
      <c r="F67" s="58"/>
      <c r="G67" s="70"/>
      <c r="H67" s="71"/>
      <c r="I67" s="64"/>
      <c r="J67" s="64"/>
      <c r="K67" s="86"/>
      <c r="L67" s="86"/>
      <c r="M67" s="86"/>
      <c r="N67" s="98"/>
    </row>
    <row r="68" spans="1:14" s="9" customFormat="1" ht="13.8" x14ac:dyDescent="0.25">
      <c r="A68" s="111"/>
      <c r="B68" s="111"/>
      <c r="C68" s="30"/>
      <c r="D68" s="29"/>
      <c r="E68" s="29"/>
      <c r="F68" s="213"/>
      <c r="G68" s="211"/>
      <c r="H68" s="133"/>
      <c r="I68" s="59"/>
      <c r="J68" s="59"/>
      <c r="K68" s="86"/>
      <c r="L68" s="86"/>
      <c r="M68" s="86"/>
      <c r="N68" s="98"/>
    </row>
    <row r="69" spans="1:14" s="9" customFormat="1" ht="13.8" x14ac:dyDescent="0.25">
      <c r="A69" s="111"/>
      <c r="B69" s="111"/>
      <c r="C69" s="30"/>
      <c r="D69" s="29"/>
      <c r="E69" s="29"/>
      <c r="F69" s="226"/>
      <c r="G69" s="211"/>
      <c r="H69" s="133"/>
      <c r="I69" s="59"/>
      <c r="J69" s="59"/>
      <c r="K69" s="86"/>
      <c r="L69" s="86"/>
      <c r="M69" s="86"/>
      <c r="N69" s="98"/>
    </row>
    <row r="70" spans="1:14" s="9" customFormat="1" ht="13.8" x14ac:dyDescent="0.25">
      <c r="A70" s="111"/>
      <c r="B70" s="111"/>
      <c r="C70" s="30"/>
      <c r="D70" s="29"/>
      <c r="E70" s="29"/>
      <c r="F70" s="58"/>
      <c r="G70" s="70"/>
      <c r="H70" s="157"/>
      <c r="I70" s="64"/>
      <c r="J70" s="64"/>
      <c r="K70" s="86"/>
      <c r="L70" s="86"/>
      <c r="M70" s="86"/>
      <c r="N70" s="98"/>
    </row>
    <row r="71" spans="1:14" s="9" customFormat="1" ht="13.8" x14ac:dyDescent="0.25">
      <c r="A71" s="111"/>
      <c r="B71" s="111"/>
      <c r="C71" s="30"/>
      <c r="D71" s="29"/>
      <c r="E71" s="29"/>
      <c r="F71" s="58"/>
      <c r="G71" s="70"/>
      <c r="H71" s="157"/>
      <c r="I71" s="64"/>
      <c r="J71" s="64"/>
      <c r="K71" s="86"/>
      <c r="L71" s="86"/>
      <c r="M71" s="86"/>
      <c r="N71" s="98"/>
    </row>
    <row r="72" spans="1:14" s="9" customFormat="1" ht="13.8" x14ac:dyDescent="0.25">
      <c r="A72" s="111"/>
      <c r="B72" s="111"/>
      <c r="C72" s="30"/>
      <c r="D72" s="29"/>
      <c r="E72" s="29"/>
      <c r="F72" s="58"/>
      <c r="G72" s="70"/>
      <c r="H72" s="157"/>
      <c r="I72" s="64"/>
      <c r="J72" s="64"/>
      <c r="K72" s="86"/>
      <c r="L72" s="86"/>
      <c r="M72" s="86"/>
      <c r="N72" s="98"/>
    </row>
    <row r="73" spans="1:14" s="9" customFormat="1" ht="13.8" x14ac:dyDescent="0.25">
      <c r="A73" s="111"/>
      <c r="B73" s="111"/>
      <c r="C73" s="30"/>
      <c r="D73" s="29"/>
      <c r="E73" s="29"/>
      <c r="F73" s="58"/>
      <c r="G73" s="70"/>
      <c r="H73" s="157"/>
      <c r="I73" s="64"/>
      <c r="J73" s="64"/>
      <c r="K73" s="86"/>
      <c r="L73" s="86"/>
      <c r="M73" s="86"/>
      <c r="N73" s="98"/>
    </row>
    <row r="74" spans="1:14" s="9" customFormat="1" ht="13.8" x14ac:dyDescent="0.25">
      <c r="A74" s="111"/>
      <c r="B74" s="111"/>
      <c r="C74" s="30"/>
      <c r="D74" s="29"/>
      <c r="E74" s="29"/>
      <c r="F74" s="58"/>
      <c r="G74" s="70"/>
      <c r="H74" s="71"/>
      <c r="I74" s="64"/>
      <c r="J74" s="64"/>
      <c r="K74" s="86"/>
      <c r="L74" s="86"/>
      <c r="M74" s="86"/>
      <c r="N74" s="98"/>
    </row>
    <row r="75" spans="1:14" s="9" customFormat="1" ht="13.8" x14ac:dyDescent="0.25">
      <c r="A75" s="111"/>
      <c r="B75" s="111"/>
      <c r="C75" s="30"/>
      <c r="D75" s="29"/>
      <c r="E75" s="29"/>
      <c r="F75" s="58"/>
      <c r="G75" s="70"/>
      <c r="H75" s="71"/>
      <c r="I75" s="64"/>
      <c r="J75" s="64"/>
      <c r="K75" s="86"/>
      <c r="L75" s="86"/>
      <c r="M75" s="86"/>
      <c r="N75" s="98"/>
    </row>
    <row r="76" spans="1:14" s="9" customFormat="1" ht="13.8" x14ac:dyDescent="0.25">
      <c r="A76" s="111"/>
      <c r="B76" s="111"/>
      <c r="C76" s="30"/>
      <c r="D76" s="29"/>
      <c r="E76" s="29"/>
      <c r="F76" s="58"/>
      <c r="G76" s="155"/>
      <c r="H76" s="71"/>
      <c r="I76" s="64"/>
      <c r="J76" s="64"/>
      <c r="K76" s="86"/>
      <c r="L76" s="86"/>
      <c r="M76" s="86"/>
      <c r="N76" s="98"/>
    </row>
    <row r="77" spans="1:14" s="9" customFormat="1" ht="13.8" x14ac:dyDescent="0.25">
      <c r="A77" s="111"/>
      <c r="B77" s="111"/>
      <c r="C77" s="30"/>
      <c r="D77" s="29"/>
      <c r="E77" s="29"/>
      <c r="F77" s="58"/>
      <c r="G77" s="137"/>
      <c r="H77" s="71"/>
      <c r="I77" s="64"/>
      <c r="J77" s="64"/>
      <c r="K77" s="86"/>
      <c r="L77" s="86"/>
      <c r="M77" s="86"/>
      <c r="N77" s="98"/>
    </row>
    <row r="78" spans="1:14" s="9" customFormat="1" ht="13.8" x14ac:dyDescent="0.25">
      <c r="A78" s="111"/>
      <c r="B78" s="111"/>
      <c r="C78" s="30"/>
      <c r="D78" s="29"/>
      <c r="E78" s="29"/>
      <c r="F78" s="58"/>
      <c r="G78" s="137"/>
      <c r="H78" s="133"/>
      <c r="I78" s="59"/>
      <c r="J78" s="156"/>
      <c r="K78" s="86"/>
      <c r="L78" s="86"/>
      <c r="M78" s="86"/>
      <c r="N78" s="98"/>
    </row>
    <row r="79" spans="1:14" s="9" customFormat="1" ht="13.8" x14ac:dyDescent="0.25">
      <c r="A79" s="111"/>
      <c r="B79" s="111"/>
      <c r="C79" s="30"/>
      <c r="D79" s="29"/>
      <c r="E79" s="29"/>
      <c r="F79" s="58"/>
      <c r="G79" s="137"/>
      <c r="H79" s="133"/>
      <c r="I79" s="64"/>
      <c r="J79" s="64"/>
      <c r="K79" s="86"/>
      <c r="L79" s="86"/>
      <c r="M79" s="86"/>
      <c r="N79" s="98"/>
    </row>
    <row r="80" spans="1:14" s="9" customFormat="1" ht="13.8" x14ac:dyDescent="0.25">
      <c r="A80" s="111"/>
      <c r="B80" s="111"/>
      <c r="C80" s="30"/>
      <c r="D80" s="29"/>
      <c r="E80" s="29"/>
      <c r="F80" s="58"/>
      <c r="G80" s="155"/>
      <c r="H80" s="71"/>
      <c r="I80" s="64"/>
      <c r="J80" s="64"/>
      <c r="K80" s="86"/>
      <c r="L80" s="86"/>
      <c r="M80" s="86"/>
      <c r="N80" s="98"/>
    </row>
    <row r="81" spans="1:14" s="9" customFormat="1" ht="13.8" x14ac:dyDescent="0.25">
      <c r="A81" s="111"/>
      <c r="B81" s="111"/>
      <c r="C81" s="30"/>
      <c r="D81" s="29"/>
      <c r="E81" s="29"/>
      <c r="F81" s="58"/>
      <c r="G81" s="137"/>
      <c r="H81" s="71"/>
      <c r="I81" s="64"/>
      <c r="J81" s="64"/>
      <c r="K81" s="86"/>
      <c r="L81" s="86"/>
      <c r="M81" s="86"/>
      <c r="N81" s="98"/>
    </row>
    <row r="82" spans="1:14" s="9" customFormat="1" ht="13.8" x14ac:dyDescent="0.25">
      <c r="A82" s="111"/>
      <c r="B82" s="111"/>
      <c r="C82" s="30"/>
      <c r="D82" s="29"/>
      <c r="E82" s="29"/>
      <c r="F82" s="58"/>
      <c r="G82" s="155"/>
      <c r="H82" s="71"/>
      <c r="I82" s="64"/>
      <c r="J82" s="64"/>
      <c r="K82" s="86"/>
      <c r="L82" s="86"/>
      <c r="M82" s="86"/>
      <c r="N82" s="98"/>
    </row>
    <row r="83" spans="1:14" s="9" customFormat="1" ht="13.8" x14ac:dyDescent="0.25">
      <c r="A83" s="111"/>
      <c r="B83" s="111"/>
      <c r="C83" s="30"/>
      <c r="D83" s="29"/>
      <c r="E83" s="29"/>
      <c r="F83" s="58"/>
      <c r="G83" s="70"/>
      <c r="H83" s="157"/>
      <c r="I83" s="64"/>
      <c r="J83" s="64"/>
      <c r="K83" s="86"/>
      <c r="L83" s="86"/>
      <c r="M83" s="86"/>
      <c r="N83" s="98"/>
    </row>
    <row r="85" spans="1:14" x14ac:dyDescent="0.25">
      <c r="F85" s="1"/>
      <c r="G85" s="1"/>
      <c r="H85" s="1"/>
      <c r="I85" s="18"/>
      <c r="J85" s="18"/>
      <c r="K85" s="18"/>
      <c r="L85" s="18"/>
    </row>
    <row r="86" spans="1:14" x14ac:dyDescent="0.25">
      <c r="F86" s="1"/>
      <c r="G86" s="1"/>
      <c r="H86" s="1"/>
      <c r="I86" s="18"/>
      <c r="J86" s="18"/>
      <c r="K86" s="18"/>
      <c r="L86" s="18"/>
    </row>
    <row r="87" spans="1:14" x14ac:dyDescent="0.25">
      <c r="F87" s="1"/>
      <c r="G87" s="1"/>
      <c r="H87" s="1"/>
      <c r="I87" s="18"/>
      <c r="J87" s="18"/>
      <c r="K87" s="18"/>
      <c r="L87" s="18"/>
    </row>
    <row r="88" spans="1:14" x14ac:dyDescent="0.25">
      <c r="F88" s="1"/>
      <c r="G88" s="1"/>
      <c r="H88" s="1"/>
      <c r="I88" s="18"/>
      <c r="J88" s="18"/>
      <c r="K88" s="18"/>
      <c r="L88" s="18"/>
    </row>
    <row r="89" spans="1:14" x14ac:dyDescent="0.25">
      <c r="F89" s="1"/>
      <c r="G89" s="1"/>
      <c r="H89" s="1"/>
      <c r="I89" s="18"/>
      <c r="J89" s="18"/>
      <c r="K89" s="18"/>
      <c r="L89" s="18"/>
    </row>
    <row r="90" spans="1:14" x14ac:dyDescent="0.25">
      <c r="F90" s="1"/>
      <c r="G90" s="1"/>
      <c r="H90" s="1"/>
      <c r="J90" s="18"/>
      <c r="K90" s="18"/>
      <c r="L90"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315F-3884-4DD6-800E-81D18F66E117}">
  <dimension ref="A1:P91"/>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1738</v>
      </c>
      <c r="L1" s="265" t="s">
        <v>1737</v>
      </c>
      <c r="M1" s="81" t="s">
        <v>1739</v>
      </c>
      <c r="N1" s="39" t="s">
        <v>124</v>
      </c>
      <c r="O1" s="7"/>
      <c r="P1" s="7"/>
    </row>
    <row r="2" spans="1:16" s="8" customFormat="1" ht="13.8" x14ac:dyDescent="0.25">
      <c r="A2" s="140" t="s">
        <v>1446</v>
      </c>
      <c r="B2" s="140"/>
      <c r="C2" s="44" t="s">
        <v>21</v>
      </c>
      <c r="D2" s="35" t="s">
        <v>152</v>
      </c>
      <c r="E2" s="57">
        <v>1</v>
      </c>
      <c r="F2" s="46" t="s">
        <v>1447</v>
      </c>
      <c r="G2" s="72">
        <v>1</v>
      </c>
      <c r="H2" s="76" t="s">
        <v>14</v>
      </c>
      <c r="I2" s="52">
        <v>3860</v>
      </c>
      <c r="J2" s="52">
        <v>3860</v>
      </c>
      <c r="K2" s="82"/>
      <c r="L2" s="82"/>
      <c r="M2" s="82"/>
      <c r="N2" s="36" t="s">
        <v>2</v>
      </c>
    </row>
    <row r="3" spans="1:16" s="8" customFormat="1" ht="26.4" x14ac:dyDescent="0.25">
      <c r="A3" s="140" t="s">
        <v>1446</v>
      </c>
      <c r="B3" s="140" t="s">
        <v>144</v>
      </c>
      <c r="C3" s="34" t="s">
        <v>21</v>
      </c>
      <c r="D3" s="35" t="s">
        <v>152</v>
      </c>
      <c r="E3" s="35">
        <v>1</v>
      </c>
      <c r="F3" s="46" t="s">
        <v>1448</v>
      </c>
      <c r="G3" s="72">
        <v>1</v>
      </c>
      <c r="H3" s="76" t="s">
        <v>14</v>
      </c>
      <c r="I3" s="51">
        <v>13300</v>
      </c>
      <c r="J3" s="51">
        <v>13300</v>
      </c>
      <c r="K3" s="82">
        <v>5.4</v>
      </c>
      <c r="L3" s="82">
        <v>1.1399999999999999</v>
      </c>
      <c r="M3" s="82">
        <v>2.5099999999999998</v>
      </c>
      <c r="N3" s="36" t="s">
        <v>1</v>
      </c>
    </row>
    <row r="4" spans="1:16" s="8" customFormat="1" ht="20.399999999999999" x14ac:dyDescent="0.25">
      <c r="A4" s="140" t="s">
        <v>1446</v>
      </c>
      <c r="B4" s="140" t="s">
        <v>82</v>
      </c>
      <c r="C4" s="44" t="s">
        <v>21</v>
      </c>
      <c r="D4" s="35" t="s">
        <v>152</v>
      </c>
      <c r="E4" s="57">
        <v>1</v>
      </c>
      <c r="F4" s="46" t="s">
        <v>1449</v>
      </c>
      <c r="G4" s="72">
        <v>1</v>
      </c>
      <c r="H4" s="76" t="s">
        <v>14</v>
      </c>
      <c r="I4" s="51">
        <v>12595</v>
      </c>
      <c r="J4" s="51">
        <v>12595</v>
      </c>
      <c r="K4" s="82">
        <v>5.4</v>
      </c>
      <c r="L4" s="82">
        <v>1.1399999999999999</v>
      </c>
      <c r="M4" s="82">
        <v>2.5099999999999998</v>
      </c>
      <c r="N4" s="38" t="s">
        <v>2</v>
      </c>
    </row>
    <row r="5" spans="1:16" s="8" customFormat="1" ht="20.399999999999999" x14ac:dyDescent="0.25">
      <c r="A5" s="140" t="s">
        <v>1446</v>
      </c>
      <c r="B5" s="140" t="s">
        <v>82</v>
      </c>
      <c r="C5" s="44" t="s">
        <v>21</v>
      </c>
      <c r="D5" s="35" t="s">
        <v>152</v>
      </c>
      <c r="E5" s="57">
        <v>1</v>
      </c>
      <c r="F5" s="46" t="s">
        <v>1450</v>
      </c>
      <c r="G5" s="72">
        <v>1</v>
      </c>
      <c r="H5" s="76" t="s">
        <v>14</v>
      </c>
      <c r="I5" s="51">
        <v>1400</v>
      </c>
      <c r="J5" s="51">
        <v>1400</v>
      </c>
      <c r="K5" s="82"/>
      <c r="L5" s="82"/>
      <c r="M5" s="82"/>
      <c r="N5" s="38" t="s">
        <v>2</v>
      </c>
    </row>
    <row r="6" spans="1:16" s="8" customFormat="1" ht="13.8" x14ac:dyDescent="0.25">
      <c r="A6" s="140" t="s">
        <v>1446</v>
      </c>
      <c r="B6" s="140" t="s">
        <v>106</v>
      </c>
      <c r="C6" s="44" t="s">
        <v>18</v>
      </c>
      <c r="D6" s="35" t="s">
        <v>152</v>
      </c>
      <c r="E6" s="57">
        <v>1</v>
      </c>
      <c r="F6" s="46" t="s">
        <v>1451</v>
      </c>
      <c r="G6" s="72">
        <v>1</v>
      </c>
      <c r="H6" s="76" t="s">
        <v>14</v>
      </c>
      <c r="I6" s="51">
        <v>1250</v>
      </c>
      <c r="J6" s="51">
        <v>1280</v>
      </c>
      <c r="K6" s="82">
        <v>1.4</v>
      </c>
      <c r="L6" s="82">
        <v>0.83</v>
      </c>
      <c r="M6" s="82">
        <v>1.1499999999999999</v>
      </c>
      <c r="N6" s="36" t="s">
        <v>2</v>
      </c>
    </row>
    <row r="7" spans="1:16" s="8" customFormat="1" ht="20.399999999999999" x14ac:dyDescent="0.25">
      <c r="A7" s="140" t="s">
        <v>1446</v>
      </c>
      <c r="B7" s="140" t="s">
        <v>122</v>
      </c>
      <c r="C7" s="44" t="s">
        <v>18</v>
      </c>
      <c r="D7" s="35" t="s">
        <v>152</v>
      </c>
      <c r="E7" s="57"/>
      <c r="F7" s="46" t="s">
        <v>1452</v>
      </c>
      <c r="G7" s="72">
        <v>1</v>
      </c>
      <c r="H7" s="76" t="s">
        <v>14</v>
      </c>
      <c r="I7" s="51">
        <v>1450</v>
      </c>
      <c r="J7" s="51">
        <v>1480</v>
      </c>
      <c r="K7" s="82">
        <v>1.4</v>
      </c>
      <c r="L7" s="82">
        <v>0.83</v>
      </c>
      <c r="M7" s="82">
        <v>1.1499999999999999</v>
      </c>
      <c r="N7" s="36" t="s">
        <v>126</v>
      </c>
    </row>
    <row r="8" spans="1:16" s="8" customFormat="1" ht="13.8" x14ac:dyDescent="0.25">
      <c r="A8" s="140" t="s">
        <v>1446</v>
      </c>
      <c r="B8" s="140"/>
      <c r="C8" s="34" t="s">
        <v>18</v>
      </c>
      <c r="D8" s="35" t="s">
        <v>152</v>
      </c>
      <c r="E8" s="35">
        <v>1</v>
      </c>
      <c r="F8" s="46" t="s">
        <v>1453</v>
      </c>
      <c r="G8" s="72">
        <v>1</v>
      </c>
      <c r="H8" s="76" t="s">
        <v>14</v>
      </c>
      <c r="I8" s="48">
        <v>55</v>
      </c>
      <c r="J8" s="48">
        <v>60</v>
      </c>
      <c r="K8" s="82">
        <v>0.8</v>
      </c>
      <c r="L8" s="82">
        <v>0.6</v>
      </c>
      <c r="M8" s="82">
        <v>1</v>
      </c>
      <c r="N8" s="36" t="s">
        <v>2</v>
      </c>
    </row>
    <row r="9" spans="1:16" s="8" customFormat="1" ht="13.8" x14ac:dyDescent="0.25">
      <c r="A9" s="140" t="s">
        <v>1446</v>
      </c>
      <c r="B9" s="140"/>
      <c r="C9" s="34" t="s">
        <v>21</v>
      </c>
      <c r="D9" s="35" t="s">
        <v>152</v>
      </c>
      <c r="E9" s="35">
        <v>1</v>
      </c>
      <c r="F9" s="46" t="s">
        <v>1454</v>
      </c>
      <c r="G9" s="72">
        <v>1</v>
      </c>
      <c r="H9" s="76" t="s">
        <v>14</v>
      </c>
      <c r="I9" s="48">
        <v>388</v>
      </c>
      <c r="J9" s="48">
        <v>388</v>
      </c>
      <c r="K9" s="82"/>
      <c r="L9" s="82"/>
      <c r="M9" s="82"/>
      <c r="N9" s="36" t="s">
        <v>182</v>
      </c>
    </row>
    <row r="10" spans="1:16" s="8" customFormat="1" ht="20.399999999999999" x14ac:dyDescent="0.25">
      <c r="A10" s="140" t="s">
        <v>1446</v>
      </c>
      <c r="B10" s="140" t="s">
        <v>579</v>
      </c>
      <c r="C10" s="34" t="s">
        <v>21</v>
      </c>
      <c r="D10" s="35" t="s">
        <v>152</v>
      </c>
      <c r="E10" s="35">
        <v>1</v>
      </c>
      <c r="F10" s="46" t="s">
        <v>1455</v>
      </c>
      <c r="G10" s="72">
        <v>1</v>
      </c>
      <c r="H10" s="76" t="s">
        <v>14</v>
      </c>
      <c r="I10" s="48">
        <v>20</v>
      </c>
      <c r="J10" s="48">
        <v>20</v>
      </c>
      <c r="K10" s="82"/>
      <c r="L10" s="82"/>
      <c r="M10" s="82"/>
      <c r="N10" s="36" t="s">
        <v>182</v>
      </c>
    </row>
    <row r="11" spans="1:16" s="8" customFormat="1" ht="20.399999999999999" x14ac:dyDescent="0.25">
      <c r="A11" s="140" t="s">
        <v>1446</v>
      </c>
      <c r="B11" s="140" t="s">
        <v>579</v>
      </c>
      <c r="C11" s="34" t="s">
        <v>21</v>
      </c>
      <c r="D11" s="35" t="s">
        <v>152</v>
      </c>
      <c r="E11" s="35">
        <v>1</v>
      </c>
      <c r="F11" s="46" t="s">
        <v>580</v>
      </c>
      <c r="G11" s="72">
        <v>1</v>
      </c>
      <c r="H11" s="76" t="s">
        <v>14</v>
      </c>
      <c r="I11" s="48">
        <v>57.5</v>
      </c>
      <c r="J11" s="48">
        <v>57.5</v>
      </c>
      <c r="K11" s="82"/>
      <c r="L11" s="82"/>
      <c r="M11" s="82"/>
      <c r="N11" s="36" t="s">
        <v>182</v>
      </c>
    </row>
    <row r="12" spans="1:16" s="8" customFormat="1" ht="20.399999999999999" x14ac:dyDescent="0.25">
      <c r="A12" s="140" t="s">
        <v>1446</v>
      </c>
      <c r="B12" s="140" t="s">
        <v>579</v>
      </c>
      <c r="C12" s="34" t="s">
        <v>21</v>
      </c>
      <c r="D12" s="35" t="s">
        <v>152</v>
      </c>
      <c r="E12" s="35">
        <v>1</v>
      </c>
      <c r="F12" s="46" t="s">
        <v>581</v>
      </c>
      <c r="G12" s="72">
        <v>1</v>
      </c>
      <c r="H12" s="76" t="s">
        <v>14</v>
      </c>
      <c r="I12" s="48">
        <v>49.2</v>
      </c>
      <c r="J12" s="48">
        <v>49.2</v>
      </c>
      <c r="K12" s="82"/>
      <c r="L12" s="82"/>
      <c r="M12" s="82"/>
      <c r="N12" s="36" t="s">
        <v>182</v>
      </c>
    </row>
    <row r="13" spans="1:16" s="8" customFormat="1" ht="20.399999999999999" x14ac:dyDescent="0.25">
      <c r="A13" s="140" t="s">
        <v>1446</v>
      </c>
      <c r="B13" s="140" t="s">
        <v>579</v>
      </c>
      <c r="C13" s="34" t="s">
        <v>21</v>
      </c>
      <c r="D13" s="35" t="s">
        <v>152</v>
      </c>
      <c r="E13" s="35">
        <v>1</v>
      </c>
      <c r="F13" s="46" t="s">
        <v>1456</v>
      </c>
      <c r="G13" s="72">
        <v>1</v>
      </c>
      <c r="H13" s="76" t="s">
        <v>14</v>
      </c>
      <c r="I13" s="48">
        <v>66.5</v>
      </c>
      <c r="J13" s="48">
        <v>66.5</v>
      </c>
      <c r="K13" s="82"/>
      <c r="L13" s="82"/>
      <c r="M13" s="82"/>
      <c r="N13" s="36" t="s">
        <v>182</v>
      </c>
    </row>
    <row r="14" spans="1:16" s="8" customFormat="1" ht="20.399999999999999" x14ac:dyDescent="0.25">
      <c r="A14" s="140" t="s">
        <v>1446</v>
      </c>
      <c r="B14" s="140" t="s">
        <v>579</v>
      </c>
      <c r="C14" s="34" t="s">
        <v>21</v>
      </c>
      <c r="D14" s="35" t="s">
        <v>152</v>
      </c>
      <c r="E14" s="35">
        <v>1</v>
      </c>
      <c r="F14" s="46" t="s">
        <v>1457</v>
      </c>
      <c r="G14" s="72">
        <v>1</v>
      </c>
      <c r="H14" s="76" t="s">
        <v>14</v>
      </c>
      <c r="I14" s="48">
        <v>73.3</v>
      </c>
      <c r="J14" s="48">
        <v>73.3</v>
      </c>
      <c r="K14" s="82"/>
      <c r="L14" s="82"/>
      <c r="M14" s="82"/>
      <c r="N14" s="36" t="s">
        <v>182</v>
      </c>
    </row>
    <row r="15" spans="1:16" s="8" customFormat="1" ht="20.399999999999999" x14ac:dyDescent="0.25">
      <c r="A15" s="140" t="s">
        <v>1446</v>
      </c>
      <c r="B15" s="140" t="s">
        <v>579</v>
      </c>
      <c r="C15" s="34" t="s">
        <v>21</v>
      </c>
      <c r="D15" s="35" t="s">
        <v>152</v>
      </c>
      <c r="E15" s="35">
        <v>1</v>
      </c>
      <c r="F15" s="46" t="s">
        <v>1458</v>
      </c>
      <c r="G15" s="72">
        <v>1</v>
      </c>
      <c r="H15" s="76" t="s">
        <v>14</v>
      </c>
      <c r="I15" s="48">
        <v>72.5</v>
      </c>
      <c r="J15" s="48">
        <v>72.5</v>
      </c>
      <c r="K15" s="82"/>
      <c r="L15" s="82"/>
      <c r="M15" s="82"/>
      <c r="N15" s="36" t="s">
        <v>182</v>
      </c>
    </row>
    <row r="16" spans="1:16" s="8" customFormat="1" ht="20.399999999999999" x14ac:dyDescent="0.25">
      <c r="A16" s="140" t="s">
        <v>1446</v>
      </c>
      <c r="B16" s="140" t="s">
        <v>579</v>
      </c>
      <c r="C16" s="34" t="s">
        <v>21</v>
      </c>
      <c r="D16" s="35" t="s">
        <v>152</v>
      </c>
      <c r="E16" s="35">
        <v>1</v>
      </c>
      <c r="F16" s="46" t="s">
        <v>1459</v>
      </c>
      <c r="G16" s="72">
        <v>1</v>
      </c>
      <c r="H16" s="76" t="s">
        <v>14</v>
      </c>
      <c r="I16" s="48">
        <v>85.6</v>
      </c>
      <c r="J16" s="48">
        <v>85.6</v>
      </c>
      <c r="K16" s="82"/>
      <c r="L16" s="82"/>
      <c r="M16" s="82"/>
      <c r="N16" s="36" t="s">
        <v>182</v>
      </c>
    </row>
    <row r="17" spans="1:14" s="8" customFormat="1" ht="20.399999999999999" x14ac:dyDescent="0.25">
      <c r="A17" s="140" t="s">
        <v>1446</v>
      </c>
      <c r="B17" s="140" t="s">
        <v>579</v>
      </c>
      <c r="C17" s="34" t="s">
        <v>21</v>
      </c>
      <c r="D17" s="35" t="s">
        <v>152</v>
      </c>
      <c r="E17" s="35">
        <v>1</v>
      </c>
      <c r="F17" s="46" t="s">
        <v>582</v>
      </c>
      <c r="G17" s="72">
        <v>1</v>
      </c>
      <c r="H17" s="76" t="s">
        <v>14</v>
      </c>
      <c r="I17" s="125">
        <v>66.5</v>
      </c>
      <c r="J17" s="125">
        <v>66.5</v>
      </c>
      <c r="K17" s="82"/>
      <c r="L17" s="82"/>
      <c r="M17" s="82"/>
      <c r="N17" s="36" t="s">
        <v>182</v>
      </c>
    </row>
    <row r="18" spans="1:14" s="8" customFormat="1" ht="20.399999999999999" x14ac:dyDescent="0.25">
      <c r="A18" s="140" t="s">
        <v>1446</v>
      </c>
      <c r="B18" s="140" t="s">
        <v>579</v>
      </c>
      <c r="C18" s="34" t="s">
        <v>21</v>
      </c>
      <c r="D18" s="35" t="s">
        <v>152</v>
      </c>
      <c r="E18" s="35">
        <v>1</v>
      </c>
      <c r="F18" s="46" t="s">
        <v>1460</v>
      </c>
      <c r="G18" s="72">
        <v>1</v>
      </c>
      <c r="H18" s="76" t="s">
        <v>14</v>
      </c>
      <c r="I18" s="125">
        <v>73.3</v>
      </c>
      <c r="J18" s="125">
        <v>73.3</v>
      </c>
      <c r="K18" s="82"/>
      <c r="L18" s="82"/>
      <c r="M18" s="82"/>
      <c r="N18" s="36" t="s">
        <v>182</v>
      </c>
    </row>
    <row r="19" spans="1:14" s="8" customFormat="1" ht="20.399999999999999" x14ac:dyDescent="0.25">
      <c r="A19" s="140" t="s">
        <v>1446</v>
      </c>
      <c r="B19" s="140" t="s">
        <v>579</v>
      </c>
      <c r="C19" s="34" t="s">
        <v>21</v>
      </c>
      <c r="D19" s="35" t="s">
        <v>152</v>
      </c>
      <c r="E19" s="35">
        <v>1</v>
      </c>
      <c r="F19" s="46" t="s">
        <v>1461</v>
      </c>
      <c r="G19" s="72">
        <v>1</v>
      </c>
      <c r="H19" s="76" t="s">
        <v>14</v>
      </c>
      <c r="I19" s="125">
        <v>72.5</v>
      </c>
      <c r="J19" s="125">
        <v>72.5</v>
      </c>
      <c r="K19" s="82"/>
      <c r="L19" s="82"/>
      <c r="M19" s="82"/>
      <c r="N19" s="36" t="s">
        <v>182</v>
      </c>
    </row>
    <row r="20" spans="1:14" s="8" customFormat="1" ht="20.399999999999999" x14ac:dyDescent="0.25">
      <c r="A20" s="140" t="s">
        <v>1446</v>
      </c>
      <c r="B20" s="140" t="s">
        <v>579</v>
      </c>
      <c r="C20" s="34" t="s">
        <v>21</v>
      </c>
      <c r="D20" s="35" t="s">
        <v>152</v>
      </c>
      <c r="E20" s="35">
        <v>1</v>
      </c>
      <c r="F20" s="46" t="s">
        <v>1462</v>
      </c>
      <c r="G20" s="72">
        <v>1</v>
      </c>
      <c r="H20" s="76" t="s">
        <v>14</v>
      </c>
      <c r="I20" s="125">
        <v>85.6</v>
      </c>
      <c r="J20" s="125">
        <v>85.6</v>
      </c>
      <c r="K20" s="82"/>
      <c r="L20" s="82"/>
      <c r="M20" s="82"/>
      <c r="N20" s="36" t="s">
        <v>182</v>
      </c>
    </row>
    <row r="21" spans="1:14" s="8" customFormat="1" ht="20.399999999999999" x14ac:dyDescent="0.25">
      <c r="A21" s="140" t="s">
        <v>1446</v>
      </c>
      <c r="B21" s="140" t="s">
        <v>579</v>
      </c>
      <c r="C21" s="34" t="s">
        <v>21</v>
      </c>
      <c r="D21" s="35" t="s">
        <v>152</v>
      </c>
      <c r="E21" s="35">
        <v>1</v>
      </c>
      <c r="F21" s="46" t="s">
        <v>1463</v>
      </c>
      <c r="G21" s="72">
        <v>1</v>
      </c>
      <c r="H21" s="76" t="s">
        <v>14</v>
      </c>
      <c r="I21" s="48">
        <v>60.4</v>
      </c>
      <c r="J21" s="48">
        <v>60.4</v>
      </c>
      <c r="K21" s="82"/>
      <c r="L21" s="82"/>
      <c r="M21" s="82"/>
      <c r="N21" s="36" t="s">
        <v>182</v>
      </c>
    </row>
    <row r="22" spans="1:14" s="8" customFormat="1" ht="20.399999999999999" x14ac:dyDescent="0.25">
      <c r="A22" s="140" t="s">
        <v>1446</v>
      </c>
      <c r="B22" s="140" t="s">
        <v>579</v>
      </c>
      <c r="C22" s="34" t="s">
        <v>21</v>
      </c>
      <c r="D22" s="35" t="s">
        <v>152</v>
      </c>
      <c r="E22" s="35">
        <v>1</v>
      </c>
      <c r="F22" s="46" t="s">
        <v>1464</v>
      </c>
      <c r="G22" s="72">
        <v>1</v>
      </c>
      <c r="H22" s="76" t="s">
        <v>14</v>
      </c>
      <c r="I22" s="48">
        <v>57.3</v>
      </c>
      <c r="J22" s="48">
        <v>57.3</v>
      </c>
      <c r="K22" s="82"/>
      <c r="L22" s="82"/>
      <c r="M22" s="82"/>
      <c r="N22" s="36" t="s">
        <v>182</v>
      </c>
    </row>
    <row r="23" spans="1:14" s="8" customFormat="1" ht="20.399999999999999" x14ac:dyDescent="0.25">
      <c r="A23" s="140" t="s">
        <v>1446</v>
      </c>
      <c r="B23" s="140" t="s">
        <v>579</v>
      </c>
      <c r="C23" s="34" t="s">
        <v>21</v>
      </c>
      <c r="D23" s="35" t="s">
        <v>152</v>
      </c>
      <c r="E23" s="35">
        <v>1</v>
      </c>
      <c r="F23" s="46" t="s">
        <v>1465</v>
      </c>
      <c r="G23" s="72">
        <v>1</v>
      </c>
      <c r="H23" s="76" t="s">
        <v>14</v>
      </c>
      <c r="I23" s="48">
        <v>93.3</v>
      </c>
      <c r="J23" s="48">
        <v>93.3</v>
      </c>
      <c r="K23" s="82"/>
      <c r="L23" s="82"/>
      <c r="M23" s="82"/>
      <c r="N23" s="36" t="s">
        <v>182</v>
      </c>
    </row>
    <row r="24" spans="1:14" s="8" customFormat="1" ht="20.399999999999999" x14ac:dyDescent="0.25">
      <c r="A24" s="140" t="s">
        <v>1446</v>
      </c>
      <c r="B24" s="140" t="s">
        <v>579</v>
      </c>
      <c r="C24" s="34" t="s">
        <v>21</v>
      </c>
      <c r="D24" s="35" t="s">
        <v>152</v>
      </c>
      <c r="E24" s="35">
        <v>1</v>
      </c>
      <c r="F24" s="46" t="s">
        <v>1466</v>
      </c>
      <c r="G24" s="72">
        <v>1</v>
      </c>
      <c r="H24" s="76" t="s">
        <v>14</v>
      </c>
      <c r="I24" s="48">
        <v>16.3</v>
      </c>
      <c r="J24" s="48">
        <v>16.3</v>
      </c>
      <c r="K24" s="82"/>
      <c r="L24" s="82"/>
      <c r="M24" s="82"/>
      <c r="N24" s="36" t="s">
        <v>182</v>
      </c>
    </row>
    <row r="25" spans="1:14" s="8" customFormat="1" ht="13.8" x14ac:dyDescent="0.25">
      <c r="A25" s="140" t="s">
        <v>1446</v>
      </c>
      <c r="B25" s="140"/>
      <c r="C25" s="34" t="s">
        <v>21</v>
      </c>
      <c r="D25" s="35" t="s">
        <v>152</v>
      </c>
      <c r="E25" s="35">
        <v>1</v>
      </c>
      <c r="F25" s="46" t="s">
        <v>1467</v>
      </c>
      <c r="G25" s="72">
        <v>1</v>
      </c>
      <c r="H25" s="76" t="s">
        <v>14</v>
      </c>
      <c r="I25" s="59"/>
      <c r="J25" s="59"/>
      <c r="K25" s="82"/>
      <c r="L25" s="82"/>
      <c r="M25" s="82"/>
      <c r="N25" s="36" t="s">
        <v>182</v>
      </c>
    </row>
    <row r="26" spans="1:14" s="8" customFormat="1" ht="20.399999999999999" x14ac:dyDescent="0.25">
      <c r="A26" s="140" t="s">
        <v>1446</v>
      </c>
      <c r="B26" s="140" t="s">
        <v>579</v>
      </c>
      <c r="C26" s="34" t="s">
        <v>21</v>
      </c>
      <c r="D26" s="35" t="s">
        <v>152</v>
      </c>
      <c r="E26" s="35">
        <v>1</v>
      </c>
      <c r="F26" s="46" t="s">
        <v>1468</v>
      </c>
      <c r="G26" s="72">
        <v>4</v>
      </c>
      <c r="H26" s="76" t="s">
        <v>14</v>
      </c>
      <c r="I26" s="48">
        <v>1.44</v>
      </c>
      <c r="J26" s="48">
        <v>1.44</v>
      </c>
      <c r="K26" s="82"/>
      <c r="L26" s="82"/>
      <c r="M26" s="82"/>
      <c r="N26" s="36" t="s">
        <v>182</v>
      </c>
    </row>
    <row r="27" spans="1:14" s="8" customFormat="1" ht="20.399999999999999" x14ac:dyDescent="0.25">
      <c r="A27" s="140" t="s">
        <v>1446</v>
      </c>
      <c r="B27" s="140" t="s">
        <v>579</v>
      </c>
      <c r="C27" s="34" t="s">
        <v>21</v>
      </c>
      <c r="D27" s="35" t="s">
        <v>152</v>
      </c>
      <c r="E27" s="35">
        <v>1</v>
      </c>
      <c r="F27" s="46" t="s">
        <v>567</v>
      </c>
      <c r="G27" s="72">
        <v>1</v>
      </c>
      <c r="H27" s="76" t="s">
        <v>396</v>
      </c>
      <c r="I27" s="48">
        <v>29.4</v>
      </c>
      <c r="J27" s="48">
        <v>29.4</v>
      </c>
      <c r="K27" s="82"/>
      <c r="L27" s="82"/>
      <c r="M27" s="82"/>
      <c r="N27" s="36" t="s">
        <v>182</v>
      </c>
    </row>
    <row r="28" spans="1:14" s="8" customFormat="1" ht="39.6" x14ac:dyDescent="0.25">
      <c r="A28" s="140" t="s">
        <v>1446</v>
      </c>
      <c r="B28" s="140" t="s">
        <v>579</v>
      </c>
      <c r="C28" s="34" t="s">
        <v>21</v>
      </c>
      <c r="D28" s="35" t="s">
        <v>152</v>
      </c>
      <c r="E28" s="35">
        <v>1</v>
      </c>
      <c r="F28" s="46" t="s">
        <v>899</v>
      </c>
      <c r="G28" s="72">
        <v>1</v>
      </c>
      <c r="H28" s="76" t="s">
        <v>396</v>
      </c>
      <c r="I28" s="48">
        <v>16.8</v>
      </c>
      <c r="J28" s="48">
        <v>8.4</v>
      </c>
      <c r="K28" s="82"/>
      <c r="L28" s="82"/>
      <c r="M28" s="82"/>
      <c r="N28" s="36" t="s">
        <v>182</v>
      </c>
    </row>
    <row r="29" spans="1:14" s="9" customFormat="1" ht="20.399999999999999" x14ac:dyDescent="0.25">
      <c r="A29" s="140" t="s">
        <v>1446</v>
      </c>
      <c r="B29" s="140" t="s">
        <v>579</v>
      </c>
      <c r="C29" s="34" t="s">
        <v>21</v>
      </c>
      <c r="D29" s="35" t="s">
        <v>152</v>
      </c>
      <c r="E29" s="35">
        <v>1</v>
      </c>
      <c r="F29" s="46" t="s">
        <v>570</v>
      </c>
      <c r="G29" s="72">
        <v>10</v>
      </c>
      <c r="H29" s="76" t="s">
        <v>14</v>
      </c>
      <c r="I29" s="48">
        <v>31</v>
      </c>
      <c r="J29" s="48">
        <v>31</v>
      </c>
      <c r="K29" s="82"/>
      <c r="L29" s="82"/>
      <c r="M29" s="82"/>
      <c r="N29" s="36" t="s">
        <v>182</v>
      </c>
    </row>
    <row r="30" spans="1:14" s="9" customFormat="1" ht="20.399999999999999" x14ac:dyDescent="0.25">
      <c r="A30" s="140" t="s">
        <v>1446</v>
      </c>
      <c r="B30" s="140" t="s">
        <v>579</v>
      </c>
      <c r="C30" s="34" t="s">
        <v>21</v>
      </c>
      <c r="D30" s="35" t="s">
        <v>152</v>
      </c>
      <c r="E30" s="35">
        <v>1</v>
      </c>
      <c r="F30" s="46" t="s">
        <v>568</v>
      </c>
      <c r="G30" s="72">
        <v>1</v>
      </c>
      <c r="H30" s="76" t="s">
        <v>14</v>
      </c>
      <c r="I30" s="48">
        <v>3.7</v>
      </c>
      <c r="J30" s="48">
        <v>3.7</v>
      </c>
      <c r="K30" s="82"/>
      <c r="L30" s="82"/>
      <c r="M30" s="82"/>
      <c r="N30" s="36" t="s">
        <v>182</v>
      </c>
    </row>
    <row r="31" spans="1:14" s="9" customFormat="1" ht="20.399999999999999" x14ac:dyDescent="0.25">
      <c r="A31" s="140" t="s">
        <v>1446</v>
      </c>
      <c r="B31" s="140" t="s">
        <v>579</v>
      </c>
      <c r="C31" s="34" t="s">
        <v>21</v>
      </c>
      <c r="D31" s="35" t="s">
        <v>152</v>
      </c>
      <c r="E31" s="35">
        <v>1</v>
      </c>
      <c r="F31" s="46" t="s">
        <v>569</v>
      </c>
      <c r="G31" s="72">
        <v>1</v>
      </c>
      <c r="H31" s="76" t="s">
        <v>14</v>
      </c>
      <c r="I31" s="48">
        <v>3.7</v>
      </c>
      <c r="J31" s="48">
        <v>3.7</v>
      </c>
      <c r="K31" s="82"/>
      <c r="L31" s="82"/>
      <c r="M31" s="82"/>
      <c r="N31" s="36" t="s">
        <v>182</v>
      </c>
    </row>
    <row r="32" spans="1:14" s="9" customFormat="1" ht="20.399999999999999" x14ac:dyDescent="0.25">
      <c r="A32" s="140" t="s">
        <v>1446</v>
      </c>
      <c r="B32" s="140" t="s">
        <v>579</v>
      </c>
      <c r="C32" s="34" t="s">
        <v>21</v>
      </c>
      <c r="D32" s="35" t="s">
        <v>152</v>
      </c>
      <c r="E32" s="35">
        <v>1</v>
      </c>
      <c r="F32" s="46" t="s">
        <v>572</v>
      </c>
      <c r="G32" s="72">
        <v>1</v>
      </c>
      <c r="H32" s="76" t="s">
        <v>14</v>
      </c>
      <c r="I32" s="48">
        <v>2.6</v>
      </c>
      <c r="J32" s="48">
        <v>2.6</v>
      </c>
      <c r="K32" s="82"/>
      <c r="L32" s="82"/>
      <c r="M32" s="82"/>
      <c r="N32" s="36" t="s">
        <v>182</v>
      </c>
    </row>
    <row r="33" spans="1:14" s="9" customFormat="1" ht="20.399999999999999" x14ac:dyDescent="0.25">
      <c r="A33" s="140" t="s">
        <v>1446</v>
      </c>
      <c r="B33" s="140" t="s">
        <v>579</v>
      </c>
      <c r="C33" s="34" t="s">
        <v>21</v>
      </c>
      <c r="D33" s="35" t="s">
        <v>152</v>
      </c>
      <c r="E33" s="35">
        <v>1</v>
      </c>
      <c r="F33" s="46" t="s">
        <v>571</v>
      </c>
      <c r="G33" s="72">
        <v>1</v>
      </c>
      <c r="H33" s="76" t="s">
        <v>14</v>
      </c>
      <c r="I33" s="48">
        <v>2.6</v>
      </c>
      <c r="J33" s="48">
        <v>2.6</v>
      </c>
      <c r="K33" s="82"/>
      <c r="L33" s="82"/>
      <c r="M33" s="82"/>
      <c r="N33" s="36" t="s">
        <v>182</v>
      </c>
    </row>
    <row r="34" spans="1:14" s="9" customFormat="1" ht="20.399999999999999" x14ac:dyDescent="0.25">
      <c r="A34" s="140" t="s">
        <v>1446</v>
      </c>
      <c r="B34" s="140" t="s">
        <v>579</v>
      </c>
      <c r="C34" s="34" t="s">
        <v>21</v>
      </c>
      <c r="D34" s="35" t="s">
        <v>152</v>
      </c>
      <c r="E34" s="35">
        <v>1</v>
      </c>
      <c r="F34" s="46" t="s">
        <v>573</v>
      </c>
      <c r="G34" s="72">
        <v>2</v>
      </c>
      <c r="H34" s="76" t="s">
        <v>14</v>
      </c>
      <c r="I34" s="48">
        <v>7</v>
      </c>
      <c r="J34" s="48">
        <v>7</v>
      </c>
      <c r="K34" s="82"/>
      <c r="L34" s="82"/>
      <c r="M34" s="82"/>
      <c r="N34" s="36" t="s">
        <v>182</v>
      </c>
    </row>
    <row r="35" spans="1:14" s="9" customFormat="1" ht="20.399999999999999" x14ac:dyDescent="0.25">
      <c r="A35" s="140" t="s">
        <v>1446</v>
      </c>
      <c r="B35" s="140" t="s">
        <v>579</v>
      </c>
      <c r="C35" s="34" t="s">
        <v>21</v>
      </c>
      <c r="D35" s="35" t="s">
        <v>152</v>
      </c>
      <c r="E35" s="35">
        <v>1</v>
      </c>
      <c r="F35" s="46" t="s">
        <v>574</v>
      </c>
      <c r="G35" s="72">
        <v>2</v>
      </c>
      <c r="H35" s="76" t="s">
        <v>14</v>
      </c>
      <c r="I35" s="48">
        <v>7</v>
      </c>
      <c r="J35" s="48">
        <v>7</v>
      </c>
      <c r="K35" s="82"/>
      <c r="L35" s="82"/>
      <c r="M35" s="82"/>
      <c r="N35" s="36" t="s">
        <v>182</v>
      </c>
    </row>
    <row r="36" spans="1:14" s="9" customFormat="1" ht="20.399999999999999" x14ac:dyDescent="0.25">
      <c r="A36" s="140" t="s">
        <v>1446</v>
      </c>
      <c r="B36" s="140" t="s">
        <v>579</v>
      </c>
      <c r="C36" s="34" t="s">
        <v>21</v>
      </c>
      <c r="D36" s="35" t="s">
        <v>152</v>
      </c>
      <c r="E36" s="35">
        <v>1</v>
      </c>
      <c r="F36" s="46" t="s">
        <v>575</v>
      </c>
      <c r="G36" s="72">
        <v>2</v>
      </c>
      <c r="H36" s="76" t="s">
        <v>14</v>
      </c>
      <c r="I36" s="48">
        <v>6.8</v>
      </c>
      <c r="J36" s="48">
        <v>6.8</v>
      </c>
      <c r="K36" s="82"/>
      <c r="L36" s="82"/>
      <c r="M36" s="82"/>
      <c r="N36" s="36" t="s">
        <v>182</v>
      </c>
    </row>
    <row r="37" spans="1:14" s="9" customFormat="1" ht="20.399999999999999" x14ac:dyDescent="0.25">
      <c r="A37" s="140" t="s">
        <v>1446</v>
      </c>
      <c r="B37" s="140" t="s">
        <v>579</v>
      </c>
      <c r="C37" s="34" t="s">
        <v>21</v>
      </c>
      <c r="D37" s="35" t="s">
        <v>152</v>
      </c>
      <c r="E37" s="35">
        <v>1</v>
      </c>
      <c r="F37" s="46" t="s">
        <v>576</v>
      </c>
      <c r="G37" s="72">
        <v>2</v>
      </c>
      <c r="H37" s="76" t="s">
        <v>14</v>
      </c>
      <c r="I37" s="48">
        <v>7.2</v>
      </c>
      <c r="J37" s="48">
        <v>7.2</v>
      </c>
      <c r="K37" s="82"/>
      <c r="L37" s="82"/>
      <c r="M37" s="82"/>
      <c r="N37" s="36" t="s">
        <v>182</v>
      </c>
    </row>
    <row r="38" spans="1:14" s="9" customFormat="1" ht="20.399999999999999" x14ac:dyDescent="0.25">
      <c r="A38" s="140" t="s">
        <v>1446</v>
      </c>
      <c r="B38" s="140" t="s">
        <v>579</v>
      </c>
      <c r="C38" s="34" t="s">
        <v>21</v>
      </c>
      <c r="D38" s="35" t="s">
        <v>152</v>
      </c>
      <c r="E38" s="35">
        <v>1</v>
      </c>
      <c r="F38" s="46" t="s">
        <v>577</v>
      </c>
      <c r="G38" s="72">
        <v>2</v>
      </c>
      <c r="H38" s="76" t="s">
        <v>14</v>
      </c>
      <c r="I38" s="48">
        <v>6.4</v>
      </c>
      <c r="J38" s="48">
        <v>6.4</v>
      </c>
      <c r="K38" s="82"/>
      <c r="L38" s="82"/>
      <c r="M38" s="82"/>
      <c r="N38" s="36" t="s">
        <v>182</v>
      </c>
    </row>
    <row r="39" spans="1:14" s="9" customFormat="1" ht="20.399999999999999" x14ac:dyDescent="0.25">
      <c r="A39" s="140" t="s">
        <v>1446</v>
      </c>
      <c r="B39" s="140" t="s">
        <v>579</v>
      </c>
      <c r="C39" s="34" t="s">
        <v>21</v>
      </c>
      <c r="D39" s="35" t="s">
        <v>152</v>
      </c>
      <c r="E39" s="35">
        <v>1</v>
      </c>
      <c r="F39" s="46" t="s">
        <v>578</v>
      </c>
      <c r="G39" s="72">
        <v>2</v>
      </c>
      <c r="H39" s="76" t="s">
        <v>14</v>
      </c>
      <c r="I39" s="48">
        <v>6.4</v>
      </c>
      <c r="J39" s="48">
        <v>6.4</v>
      </c>
      <c r="K39" s="82"/>
      <c r="L39" s="82"/>
      <c r="M39" s="82"/>
      <c r="N39" s="36" t="s">
        <v>182</v>
      </c>
    </row>
    <row r="40" spans="1:14" s="9" customFormat="1" ht="20.399999999999999" x14ac:dyDescent="0.25">
      <c r="A40" s="140" t="s">
        <v>1446</v>
      </c>
      <c r="B40" s="140" t="s">
        <v>579</v>
      </c>
      <c r="C40" s="34" t="s">
        <v>21</v>
      </c>
      <c r="D40" s="35" t="s">
        <v>152</v>
      </c>
      <c r="E40" s="35">
        <v>1</v>
      </c>
      <c r="F40" s="46" t="s">
        <v>900</v>
      </c>
      <c r="G40" s="72">
        <v>1</v>
      </c>
      <c r="H40" s="76" t="s">
        <v>396</v>
      </c>
      <c r="I40" s="48">
        <v>75</v>
      </c>
      <c r="J40" s="48">
        <v>75</v>
      </c>
      <c r="K40" s="82"/>
      <c r="L40" s="82"/>
      <c r="M40" s="82"/>
      <c r="N40" s="36" t="s">
        <v>182</v>
      </c>
    </row>
    <row r="41" spans="1:14" s="9" customFormat="1" ht="20.399999999999999" x14ac:dyDescent="0.25">
      <c r="A41" s="140"/>
      <c r="B41" s="140" t="s">
        <v>762</v>
      </c>
      <c r="C41" s="34" t="s">
        <v>21</v>
      </c>
      <c r="D41" s="35"/>
      <c r="E41" s="35">
        <v>1</v>
      </c>
      <c r="F41" s="46" t="s">
        <v>1469</v>
      </c>
      <c r="G41" s="72">
        <v>1</v>
      </c>
      <c r="H41" s="76" t="s">
        <v>14</v>
      </c>
      <c r="I41" s="48">
        <v>4160</v>
      </c>
      <c r="J41" s="48">
        <v>4160</v>
      </c>
      <c r="K41" s="82"/>
      <c r="L41" s="82"/>
      <c r="M41" s="82"/>
      <c r="N41" s="36" t="s">
        <v>1</v>
      </c>
    </row>
    <row r="42" spans="1:14" s="9" customFormat="1" ht="26.4" x14ac:dyDescent="0.25">
      <c r="A42" s="140" t="s">
        <v>1446</v>
      </c>
      <c r="B42" s="140" t="s">
        <v>762</v>
      </c>
      <c r="C42" s="34" t="s">
        <v>21</v>
      </c>
      <c r="D42" s="35"/>
      <c r="E42" s="35">
        <v>1</v>
      </c>
      <c r="F42" s="46" t="s">
        <v>1470</v>
      </c>
      <c r="G42" s="72">
        <v>1</v>
      </c>
      <c r="H42" s="76" t="s">
        <v>14</v>
      </c>
      <c r="I42" s="51">
        <v>13050</v>
      </c>
      <c r="J42" s="51">
        <v>13050</v>
      </c>
      <c r="K42" s="82">
        <v>5.4</v>
      </c>
      <c r="L42" s="82">
        <v>1.1399999999999999</v>
      </c>
      <c r="M42" s="82">
        <v>2.5099999999999998</v>
      </c>
      <c r="N42" s="36" t="s">
        <v>2</v>
      </c>
    </row>
    <row r="43" spans="1:14" s="9" customFormat="1" ht="26.4" x14ac:dyDescent="0.25">
      <c r="A43" s="140" t="s">
        <v>1446</v>
      </c>
      <c r="B43" s="140" t="s">
        <v>762</v>
      </c>
      <c r="C43" s="34" t="s">
        <v>21</v>
      </c>
      <c r="D43" s="35"/>
      <c r="E43" s="35">
        <v>1</v>
      </c>
      <c r="F43" s="46" t="s">
        <v>1471</v>
      </c>
      <c r="G43" s="72">
        <v>1</v>
      </c>
      <c r="H43" s="76" t="s">
        <v>14</v>
      </c>
      <c r="I43" s="51">
        <v>2430</v>
      </c>
      <c r="J43" s="51">
        <v>2430</v>
      </c>
      <c r="K43" s="82">
        <v>1.4</v>
      </c>
      <c r="L43" s="82">
        <v>0.83</v>
      </c>
      <c r="M43" s="82">
        <v>1.1499999999999999</v>
      </c>
      <c r="N43" s="36" t="s">
        <v>85</v>
      </c>
    </row>
    <row r="44" spans="1:14" s="9" customFormat="1" ht="20.399999999999999" x14ac:dyDescent="0.25">
      <c r="A44" s="140" t="s">
        <v>1446</v>
      </c>
      <c r="B44" s="140" t="s">
        <v>762</v>
      </c>
      <c r="C44" s="34" t="s">
        <v>18</v>
      </c>
      <c r="D44" s="35"/>
      <c r="E44" s="35">
        <v>1</v>
      </c>
      <c r="F44" s="46" t="s">
        <v>765</v>
      </c>
      <c r="G44" s="147">
        <v>1</v>
      </c>
      <c r="H44" s="129" t="s">
        <v>14</v>
      </c>
      <c r="I44" s="48">
        <v>20</v>
      </c>
      <c r="J44" s="48">
        <v>20</v>
      </c>
      <c r="K44" s="82">
        <v>1</v>
      </c>
      <c r="L44" s="82">
        <v>0.5</v>
      </c>
      <c r="M44" s="82">
        <v>0.79</v>
      </c>
      <c r="N44" s="36" t="s">
        <v>85</v>
      </c>
    </row>
    <row r="45" spans="1:14" s="9" customFormat="1" ht="20.399999999999999" x14ac:dyDescent="0.25">
      <c r="A45" s="140" t="s">
        <v>1446</v>
      </c>
      <c r="B45" s="140" t="s">
        <v>762</v>
      </c>
      <c r="C45" s="34" t="s">
        <v>509</v>
      </c>
      <c r="D45" s="35"/>
      <c r="E45" s="35">
        <v>1</v>
      </c>
      <c r="F45" s="46" t="s">
        <v>766</v>
      </c>
      <c r="G45" s="72">
        <v>1</v>
      </c>
      <c r="H45" s="76" t="s">
        <v>14</v>
      </c>
      <c r="I45" s="48">
        <v>30</v>
      </c>
      <c r="J45" s="48">
        <v>35</v>
      </c>
      <c r="K45" s="82">
        <v>0.8</v>
      </c>
      <c r="L45" s="82">
        <v>0.6</v>
      </c>
      <c r="M45" s="82">
        <v>1</v>
      </c>
      <c r="N45" s="36" t="s">
        <v>85</v>
      </c>
    </row>
    <row r="46" spans="1:14" s="9" customFormat="1" ht="20.399999999999999" x14ac:dyDescent="0.25">
      <c r="A46" s="140" t="s">
        <v>1446</v>
      </c>
      <c r="B46" s="140" t="s">
        <v>762</v>
      </c>
      <c r="C46" s="34" t="s">
        <v>18</v>
      </c>
      <c r="D46" s="35"/>
      <c r="E46" s="35">
        <v>1</v>
      </c>
      <c r="F46" s="161" t="s">
        <v>767</v>
      </c>
      <c r="G46" s="147">
        <v>1</v>
      </c>
      <c r="H46" s="129" t="s">
        <v>14</v>
      </c>
      <c r="I46" s="48">
        <v>34</v>
      </c>
      <c r="J46" s="48">
        <v>44</v>
      </c>
      <c r="K46" s="82">
        <v>1.2</v>
      </c>
      <c r="L46" s="82">
        <v>0.8</v>
      </c>
      <c r="M46" s="82">
        <v>0.6</v>
      </c>
      <c r="N46" s="36" t="s">
        <v>85</v>
      </c>
    </row>
    <row r="47" spans="1:14" s="9" customFormat="1" ht="159.6" x14ac:dyDescent="0.25">
      <c r="A47" s="140" t="s">
        <v>1446</v>
      </c>
      <c r="B47" s="140" t="s">
        <v>762</v>
      </c>
      <c r="C47" s="34" t="s">
        <v>20</v>
      </c>
      <c r="D47" s="35"/>
      <c r="E47" s="35">
        <v>1</v>
      </c>
      <c r="F47" s="161" t="s">
        <v>768</v>
      </c>
      <c r="G47" s="147">
        <v>53</v>
      </c>
      <c r="H47" s="129" t="s">
        <v>14</v>
      </c>
      <c r="I47" s="48">
        <v>170</v>
      </c>
      <c r="J47" s="48">
        <v>190</v>
      </c>
      <c r="K47" s="82">
        <v>1</v>
      </c>
      <c r="L47" s="82">
        <v>0.7</v>
      </c>
      <c r="M47" s="82">
        <v>0.63</v>
      </c>
      <c r="N47" s="36" t="s">
        <v>85</v>
      </c>
    </row>
    <row r="48" spans="1:14" s="9" customFormat="1" ht="52.8" x14ac:dyDescent="0.25">
      <c r="A48" s="140" t="s">
        <v>1446</v>
      </c>
      <c r="B48" s="140" t="s">
        <v>762</v>
      </c>
      <c r="C48" s="34" t="s">
        <v>21</v>
      </c>
      <c r="D48" s="35"/>
      <c r="E48" s="35">
        <v>1</v>
      </c>
      <c r="F48" s="46" t="s">
        <v>769</v>
      </c>
      <c r="G48" s="147">
        <v>6</v>
      </c>
      <c r="H48" s="129" t="s">
        <v>14</v>
      </c>
      <c r="I48" s="48">
        <v>200</v>
      </c>
      <c r="J48" s="48">
        <v>200</v>
      </c>
      <c r="K48" s="82">
        <v>0.9</v>
      </c>
      <c r="L48" s="82">
        <v>1</v>
      </c>
      <c r="M48" s="82">
        <v>1.1000000000000001</v>
      </c>
      <c r="N48" s="36" t="s">
        <v>85</v>
      </c>
    </row>
    <row r="49" spans="1:14" s="9" customFormat="1" ht="20.399999999999999" x14ac:dyDescent="0.25">
      <c r="A49" s="140" t="s">
        <v>1446</v>
      </c>
      <c r="B49" s="140" t="s">
        <v>996</v>
      </c>
      <c r="C49" s="34" t="s">
        <v>21</v>
      </c>
      <c r="D49" s="35"/>
      <c r="E49" s="35"/>
      <c r="F49" s="46" t="s">
        <v>1003</v>
      </c>
      <c r="G49" s="147">
        <v>1</v>
      </c>
      <c r="H49" s="129" t="s">
        <v>14</v>
      </c>
      <c r="I49" s="48">
        <v>4040</v>
      </c>
      <c r="J49" s="48">
        <v>4040</v>
      </c>
      <c r="K49" s="82"/>
      <c r="L49" s="82"/>
      <c r="M49" s="82"/>
      <c r="N49" s="36" t="s">
        <v>85</v>
      </c>
    </row>
    <row r="50" spans="1:14" s="9" customFormat="1" ht="26.4" x14ac:dyDescent="0.25">
      <c r="A50" s="140" t="s">
        <v>1446</v>
      </c>
      <c r="B50" s="140" t="s">
        <v>999</v>
      </c>
      <c r="C50" s="34" t="s">
        <v>18</v>
      </c>
      <c r="D50" s="35"/>
      <c r="E50" s="35">
        <v>1</v>
      </c>
      <c r="F50" s="46" t="s">
        <v>997</v>
      </c>
      <c r="G50" s="72">
        <v>2</v>
      </c>
      <c r="H50" s="76" t="s">
        <v>14</v>
      </c>
      <c r="I50" s="48">
        <v>874</v>
      </c>
      <c r="J50" s="48">
        <v>924</v>
      </c>
      <c r="K50" s="82"/>
      <c r="L50" s="82"/>
      <c r="M50" s="82"/>
      <c r="N50" s="36" t="s">
        <v>998</v>
      </c>
    </row>
    <row r="51" spans="1:14" s="9" customFormat="1" ht="20.399999999999999" x14ac:dyDescent="0.25">
      <c r="A51" s="140" t="s">
        <v>1446</v>
      </c>
      <c r="B51" s="140" t="s">
        <v>996</v>
      </c>
      <c r="C51" s="34" t="s">
        <v>21</v>
      </c>
      <c r="D51" s="35"/>
      <c r="E51" s="35">
        <v>1</v>
      </c>
      <c r="F51" s="46" t="s">
        <v>1000</v>
      </c>
      <c r="G51" s="72">
        <v>1</v>
      </c>
      <c r="H51" s="76" t="s">
        <v>14</v>
      </c>
      <c r="I51" s="48">
        <v>844</v>
      </c>
      <c r="J51" s="48">
        <v>880</v>
      </c>
      <c r="K51" s="82"/>
      <c r="L51" s="82"/>
      <c r="M51" s="82"/>
      <c r="N51" s="36" t="s">
        <v>1</v>
      </c>
    </row>
    <row r="52" spans="1:14" s="9" customFormat="1" ht="20.399999999999999" x14ac:dyDescent="0.25">
      <c r="A52" s="140" t="s">
        <v>1446</v>
      </c>
      <c r="B52" s="140" t="s">
        <v>996</v>
      </c>
      <c r="C52" s="34" t="s">
        <v>21</v>
      </c>
      <c r="D52" s="35"/>
      <c r="E52" s="35">
        <v>1</v>
      </c>
      <c r="F52" s="46" t="s">
        <v>1001</v>
      </c>
      <c r="G52" s="72">
        <v>1</v>
      </c>
      <c r="H52" s="76" t="s">
        <v>14</v>
      </c>
      <c r="I52" s="48">
        <v>212</v>
      </c>
      <c r="J52" s="48">
        <v>212</v>
      </c>
      <c r="K52" s="82"/>
      <c r="L52" s="82"/>
      <c r="M52" s="82"/>
      <c r="N52" s="36" t="s">
        <v>1</v>
      </c>
    </row>
    <row r="53" spans="1:14" s="9" customFormat="1" ht="20.399999999999999" x14ac:dyDescent="0.25">
      <c r="A53" s="140" t="s">
        <v>1446</v>
      </c>
      <c r="B53" s="140" t="s">
        <v>996</v>
      </c>
      <c r="C53" s="34" t="s">
        <v>21</v>
      </c>
      <c r="D53" s="35"/>
      <c r="E53" s="35">
        <v>1</v>
      </c>
      <c r="F53" s="46" t="s">
        <v>1002</v>
      </c>
      <c r="G53" s="72">
        <v>1</v>
      </c>
      <c r="H53" s="76" t="s">
        <v>14</v>
      </c>
      <c r="I53" s="48">
        <v>255</v>
      </c>
      <c r="J53" s="48">
        <v>255</v>
      </c>
      <c r="K53" s="82"/>
      <c r="L53" s="82"/>
      <c r="M53" s="82"/>
      <c r="N53" s="36" t="s">
        <v>85</v>
      </c>
    </row>
    <row r="54" spans="1:14" s="9" customFormat="1" ht="20.399999999999999" x14ac:dyDescent="0.25">
      <c r="A54" s="140" t="s">
        <v>1446</v>
      </c>
      <c r="B54" s="140" t="s">
        <v>996</v>
      </c>
      <c r="C54" s="34" t="s">
        <v>21</v>
      </c>
      <c r="D54" s="35"/>
      <c r="E54" s="35">
        <v>1</v>
      </c>
      <c r="F54" s="46" t="s">
        <v>1004</v>
      </c>
      <c r="G54" s="72">
        <v>1</v>
      </c>
      <c r="H54" s="76" t="s">
        <v>396</v>
      </c>
      <c r="I54" s="48">
        <v>3450</v>
      </c>
      <c r="J54" s="48">
        <v>3450</v>
      </c>
      <c r="K54" s="82"/>
      <c r="L54" s="82"/>
      <c r="M54" s="82"/>
      <c r="N54" s="36" t="s">
        <v>85</v>
      </c>
    </row>
    <row r="55" spans="1:14" s="9" customFormat="1" ht="26.4" x14ac:dyDescent="0.25">
      <c r="A55" s="140" t="s">
        <v>1446</v>
      </c>
      <c r="B55" s="140" t="s">
        <v>1005</v>
      </c>
      <c r="C55" s="34" t="s">
        <v>21</v>
      </c>
      <c r="D55" s="35"/>
      <c r="E55" s="35">
        <v>1</v>
      </c>
      <c r="F55" s="46" t="s">
        <v>1472</v>
      </c>
      <c r="G55" s="72">
        <v>1</v>
      </c>
      <c r="H55" s="76" t="s">
        <v>14</v>
      </c>
      <c r="I55" s="51">
        <v>12660</v>
      </c>
      <c r="J55" s="51">
        <v>12660</v>
      </c>
      <c r="K55" s="82">
        <v>5.4</v>
      </c>
      <c r="L55" s="82">
        <v>1.1399999999999999</v>
      </c>
      <c r="M55" s="82">
        <v>2.5099999999999998</v>
      </c>
      <c r="N55" s="36" t="s">
        <v>2</v>
      </c>
    </row>
    <row r="56" spans="1:14" s="9" customFormat="1" ht="20.399999999999999" x14ac:dyDescent="0.25">
      <c r="A56" s="140" t="s">
        <v>1446</v>
      </c>
      <c r="B56" s="140" t="s">
        <v>1005</v>
      </c>
      <c r="C56" s="34" t="s">
        <v>21</v>
      </c>
      <c r="D56" s="35"/>
      <c r="E56" s="35">
        <v>1</v>
      </c>
      <c r="F56" s="46" t="s">
        <v>1473</v>
      </c>
      <c r="G56" s="72">
        <v>1</v>
      </c>
      <c r="H56" s="76" t="s">
        <v>14</v>
      </c>
      <c r="I56" s="48">
        <v>445</v>
      </c>
      <c r="J56" s="48">
        <v>445</v>
      </c>
      <c r="K56" s="82"/>
      <c r="L56" s="82"/>
      <c r="M56" s="82"/>
      <c r="N56" s="36" t="s">
        <v>85</v>
      </c>
    </row>
    <row r="57" spans="1:14" s="9" customFormat="1" ht="20.399999999999999" x14ac:dyDescent="0.25">
      <c r="A57" s="140" t="s">
        <v>1446</v>
      </c>
      <c r="B57" s="140" t="s">
        <v>1005</v>
      </c>
      <c r="C57" s="34" t="s">
        <v>21</v>
      </c>
      <c r="D57" s="35"/>
      <c r="E57" s="35">
        <v>1</v>
      </c>
      <c r="F57" s="46" t="s">
        <v>1474</v>
      </c>
      <c r="G57" s="72">
        <v>1</v>
      </c>
      <c r="H57" s="76" t="s">
        <v>14</v>
      </c>
      <c r="I57" s="51">
        <v>1830</v>
      </c>
      <c r="J57" s="51">
        <v>1830</v>
      </c>
      <c r="K57" s="82">
        <v>1.5</v>
      </c>
      <c r="L57" s="82">
        <v>1.19</v>
      </c>
      <c r="M57" s="82">
        <v>1.1499999999999999</v>
      </c>
      <c r="N57" s="36" t="s">
        <v>85</v>
      </c>
    </row>
    <row r="58" spans="1:14" s="9" customFormat="1" ht="20.399999999999999" x14ac:dyDescent="0.25">
      <c r="A58" s="140" t="s">
        <v>1446</v>
      </c>
      <c r="B58" s="140" t="s">
        <v>1005</v>
      </c>
      <c r="C58" s="34" t="s">
        <v>21</v>
      </c>
      <c r="D58" s="35"/>
      <c r="E58" s="35">
        <v>1</v>
      </c>
      <c r="F58" s="46" t="s">
        <v>1006</v>
      </c>
      <c r="G58" s="147">
        <v>2</v>
      </c>
      <c r="H58" s="129" t="s">
        <v>14</v>
      </c>
      <c r="I58" s="48">
        <v>120</v>
      </c>
      <c r="J58" s="48">
        <v>120</v>
      </c>
      <c r="K58" s="82">
        <v>1.8</v>
      </c>
      <c r="L58" s="82">
        <v>0.65</v>
      </c>
      <c r="M58" s="82">
        <v>0.75</v>
      </c>
      <c r="N58" s="36" t="s">
        <v>85</v>
      </c>
    </row>
    <row r="59" spans="1:14" s="9" customFormat="1" ht="45.6" x14ac:dyDescent="0.25">
      <c r="A59" s="140" t="s">
        <v>1446</v>
      </c>
      <c r="B59" s="140" t="s">
        <v>1005</v>
      </c>
      <c r="C59" s="34" t="s">
        <v>21</v>
      </c>
      <c r="D59" s="35"/>
      <c r="E59" s="35">
        <v>1</v>
      </c>
      <c r="F59" s="161" t="s">
        <v>1475</v>
      </c>
      <c r="G59" s="147">
        <v>6</v>
      </c>
      <c r="H59" s="129" t="s">
        <v>14</v>
      </c>
      <c r="I59" s="48">
        <v>210</v>
      </c>
      <c r="J59" s="48">
        <v>210</v>
      </c>
      <c r="K59" s="82">
        <v>0.9</v>
      </c>
      <c r="L59" s="82">
        <v>1</v>
      </c>
      <c r="M59" s="82">
        <v>1.1000000000000001</v>
      </c>
      <c r="N59" s="36" t="s">
        <v>85</v>
      </c>
    </row>
    <row r="60" spans="1:14" s="9" customFormat="1" ht="51" x14ac:dyDescent="0.25">
      <c r="A60" s="140" t="s">
        <v>1446</v>
      </c>
      <c r="B60" s="140" t="s">
        <v>1005</v>
      </c>
      <c r="C60" s="34" t="s">
        <v>20</v>
      </c>
      <c r="D60" s="35"/>
      <c r="E60" s="35">
        <v>1</v>
      </c>
      <c r="F60" s="164" t="s">
        <v>1477</v>
      </c>
      <c r="G60" s="72">
        <v>635</v>
      </c>
      <c r="H60" s="73" t="s">
        <v>14</v>
      </c>
      <c r="I60" s="51">
        <v>1075</v>
      </c>
      <c r="J60" s="51">
        <v>1125</v>
      </c>
      <c r="K60" s="82">
        <v>1.25</v>
      </c>
      <c r="L60" s="82">
        <v>0.85</v>
      </c>
      <c r="M60" s="82">
        <v>0.9</v>
      </c>
      <c r="N60" s="36" t="s">
        <v>85</v>
      </c>
    </row>
    <row r="61" spans="1:14" s="9" customFormat="1" ht="20.399999999999999" x14ac:dyDescent="0.25">
      <c r="A61" s="140" t="s">
        <v>1446</v>
      </c>
      <c r="B61" s="140" t="s">
        <v>1236</v>
      </c>
      <c r="C61" s="34" t="s">
        <v>21</v>
      </c>
      <c r="D61" s="35"/>
      <c r="E61" s="35">
        <v>1</v>
      </c>
      <c r="F61" s="46" t="s">
        <v>1449</v>
      </c>
      <c r="G61" s="72">
        <v>1</v>
      </c>
      <c r="H61" s="76" t="s">
        <v>14</v>
      </c>
      <c r="I61" s="51">
        <v>12775</v>
      </c>
      <c r="J61" s="51">
        <v>12775</v>
      </c>
      <c r="K61" s="82">
        <v>5.4</v>
      </c>
      <c r="L61" s="82">
        <v>1.1399999999999999</v>
      </c>
      <c r="M61" s="82">
        <v>2.5099999999999998</v>
      </c>
      <c r="N61" s="36"/>
    </row>
    <row r="62" spans="1:14" s="9" customFormat="1" ht="20.399999999999999" x14ac:dyDescent="0.25">
      <c r="A62" s="140" t="s">
        <v>1446</v>
      </c>
      <c r="B62" s="140" t="s">
        <v>1236</v>
      </c>
      <c r="C62" s="34" t="s">
        <v>21</v>
      </c>
      <c r="D62" s="35"/>
      <c r="E62" s="35">
        <v>1</v>
      </c>
      <c r="F62" s="46" t="s">
        <v>1451</v>
      </c>
      <c r="G62" s="72">
        <v>1</v>
      </c>
      <c r="H62" s="76" t="s">
        <v>14</v>
      </c>
      <c r="I62" s="51">
        <v>1550</v>
      </c>
      <c r="J62" s="51">
        <v>1550</v>
      </c>
      <c r="K62" s="82">
        <v>1.4</v>
      </c>
      <c r="L62" s="82">
        <v>0.85</v>
      </c>
      <c r="M62" s="82">
        <v>1.2</v>
      </c>
      <c r="N62" s="36"/>
    </row>
    <row r="63" spans="1:14" s="9" customFormat="1" ht="20.399999999999999" x14ac:dyDescent="0.25">
      <c r="A63" s="140" t="s">
        <v>1446</v>
      </c>
      <c r="B63" s="140" t="s">
        <v>1236</v>
      </c>
      <c r="C63" s="34" t="s">
        <v>21</v>
      </c>
      <c r="D63" s="35"/>
      <c r="E63" s="35">
        <v>1</v>
      </c>
      <c r="F63" s="46" t="s">
        <v>765</v>
      </c>
      <c r="G63" s="147">
        <v>1</v>
      </c>
      <c r="H63" s="129" t="s">
        <v>14</v>
      </c>
      <c r="I63" s="48">
        <v>50</v>
      </c>
      <c r="J63" s="48">
        <v>50</v>
      </c>
      <c r="K63" s="82">
        <v>1.8</v>
      </c>
      <c r="L63" s="82">
        <v>0.6</v>
      </c>
      <c r="M63" s="82">
        <v>0.3</v>
      </c>
      <c r="N63" s="36"/>
    </row>
    <row r="64" spans="1:14" s="9" customFormat="1" ht="142.80000000000001" x14ac:dyDescent="0.25">
      <c r="A64" s="140" t="s">
        <v>1446</v>
      </c>
      <c r="B64" s="140" t="s">
        <v>1236</v>
      </c>
      <c r="C64" s="34" t="s">
        <v>20</v>
      </c>
      <c r="D64" s="35"/>
      <c r="E64" s="35">
        <v>1</v>
      </c>
      <c r="F64" s="164" t="s">
        <v>1235</v>
      </c>
      <c r="G64" s="147">
        <v>113</v>
      </c>
      <c r="H64" s="129" t="s">
        <v>14</v>
      </c>
      <c r="I64" s="48">
        <v>265</v>
      </c>
      <c r="J64" s="48">
        <v>320</v>
      </c>
      <c r="K64" s="82">
        <v>1.25</v>
      </c>
      <c r="L64" s="82">
        <v>0.85</v>
      </c>
      <c r="M64" s="82">
        <v>1.1000000000000001</v>
      </c>
      <c r="N64" s="36"/>
    </row>
    <row r="65" spans="1:14" s="9" customFormat="1" ht="40.799999999999997" x14ac:dyDescent="0.25">
      <c r="A65" s="140" t="s">
        <v>1446</v>
      </c>
      <c r="B65" s="140" t="s">
        <v>1236</v>
      </c>
      <c r="C65" s="34" t="s">
        <v>21</v>
      </c>
      <c r="D65" s="35"/>
      <c r="E65" s="35">
        <v>1</v>
      </c>
      <c r="F65" s="164" t="s">
        <v>1475</v>
      </c>
      <c r="G65" s="147">
        <v>6</v>
      </c>
      <c r="H65" s="129" t="s">
        <v>14</v>
      </c>
      <c r="I65" s="48">
        <v>210</v>
      </c>
      <c r="J65" s="48">
        <v>210</v>
      </c>
      <c r="K65" s="82">
        <v>0.9</v>
      </c>
      <c r="L65" s="82">
        <v>1</v>
      </c>
      <c r="M65" s="82">
        <v>1.1000000000000001</v>
      </c>
      <c r="N65" s="36"/>
    </row>
    <row r="66" spans="1:14" s="9" customFormat="1" ht="26.4" x14ac:dyDescent="0.25">
      <c r="A66" s="140" t="s">
        <v>1446</v>
      </c>
      <c r="B66" s="140" t="s">
        <v>1019</v>
      </c>
      <c r="C66" s="34" t="s">
        <v>21</v>
      </c>
      <c r="D66" s="35"/>
      <c r="E66" s="35">
        <v>1</v>
      </c>
      <c r="F66" s="46" t="s">
        <v>1445</v>
      </c>
      <c r="G66" s="72">
        <v>1</v>
      </c>
      <c r="H66" s="76" t="s">
        <v>14</v>
      </c>
      <c r="I66" s="51">
        <v>12000</v>
      </c>
      <c r="J66" s="51">
        <v>12000</v>
      </c>
      <c r="K66" s="82">
        <v>5.4</v>
      </c>
      <c r="L66" s="82">
        <v>1.1499999999999999</v>
      </c>
      <c r="M66" s="82">
        <v>1.76</v>
      </c>
      <c r="N66" s="36"/>
    </row>
    <row r="67" spans="1:14" s="9" customFormat="1" ht="26.4" x14ac:dyDescent="0.25">
      <c r="A67" s="140" t="s">
        <v>1446</v>
      </c>
      <c r="B67" s="140" t="s">
        <v>1019</v>
      </c>
      <c r="C67" s="34" t="s">
        <v>21</v>
      </c>
      <c r="D67" s="35"/>
      <c r="E67" s="35">
        <v>1</v>
      </c>
      <c r="F67" s="46" t="s">
        <v>1038</v>
      </c>
      <c r="G67" s="72">
        <v>1</v>
      </c>
      <c r="H67" s="76" t="s">
        <v>14</v>
      </c>
      <c r="I67" s="51">
        <v>500</v>
      </c>
      <c r="J67" s="51">
        <v>500</v>
      </c>
      <c r="K67" s="82">
        <v>2</v>
      </c>
      <c r="L67" s="82">
        <v>0.8</v>
      </c>
      <c r="M67" s="82">
        <v>0.8</v>
      </c>
      <c r="N67" s="36"/>
    </row>
    <row r="68" spans="1:14" s="9" customFormat="1" ht="26.4" x14ac:dyDescent="0.25">
      <c r="A68" s="140" t="s">
        <v>1446</v>
      </c>
      <c r="B68" s="140" t="s">
        <v>1019</v>
      </c>
      <c r="C68" s="34" t="s">
        <v>21</v>
      </c>
      <c r="D68" s="35"/>
      <c r="E68" s="35">
        <v>1</v>
      </c>
      <c r="F68" s="46" t="s">
        <v>1275</v>
      </c>
      <c r="G68" s="72">
        <v>1</v>
      </c>
      <c r="H68" s="76" t="s">
        <v>14</v>
      </c>
      <c r="I68" s="51">
        <v>1615</v>
      </c>
      <c r="J68" s="51">
        <v>1615</v>
      </c>
      <c r="K68" s="82">
        <v>1.45</v>
      </c>
      <c r="L68" s="82">
        <v>1.25</v>
      </c>
      <c r="M68" s="82">
        <v>1.2</v>
      </c>
      <c r="N68" s="36"/>
    </row>
    <row r="69" spans="1:14" s="9" customFormat="1" ht="30.6" x14ac:dyDescent="0.25">
      <c r="A69" s="140" t="s">
        <v>1446</v>
      </c>
      <c r="B69" s="140" t="s">
        <v>1019</v>
      </c>
      <c r="C69" s="34" t="s">
        <v>18</v>
      </c>
      <c r="D69" s="35"/>
      <c r="E69" s="35">
        <v>1</v>
      </c>
      <c r="F69" s="164" t="s">
        <v>1276</v>
      </c>
      <c r="G69" s="147">
        <v>4</v>
      </c>
      <c r="H69" s="129" t="s">
        <v>14</v>
      </c>
      <c r="I69" s="48">
        <v>50</v>
      </c>
      <c r="J69" s="48">
        <v>60</v>
      </c>
      <c r="K69" s="82">
        <v>1.85</v>
      </c>
      <c r="L69" s="82">
        <v>0.95</v>
      </c>
      <c r="M69" s="82">
        <v>0.45</v>
      </c>
      <c r="N69" s="36"/>
    </row>
    <row r="70" spans="1:14" s="9" customFormat="1" ht="249.6" x14ac:dyDescent="0.25">
      <c r="A70" s="140" t="s">
        <v>1446</v>
      </c>
      <c r="B70" s="140" t="s">
        <v>1019</v>
      </c>
      <c r="C70" s="34" t="s">
        <v>20</v>
      </c>
      <c r="D70" s="35"/>
      <c r="E70" s="35">
        <v>1</v>
      </c>
      <c r="F70" s="145" t="s">
        <v>1476</v>
      </c>
      <c r="G70" s="147">
        <v>53</v>
      </c>
      <c r="H70" s="129" t="s">
        <v>14</v>
      </c>
      <c r="I70" s="48">
        <v>430</v>
      </c>
      <c r="J70" s="48">
        <v>515</v>
      </c>
      <c r="K70" s="82">
        <v>1.3</v>
      </c>
      <c r="L70" s="82">
        <v>1.1000000000000001</v>
      </c>
      <c r="M70" s="82">
        <v>1.2</v>
      </c>
      <c r="N70" s="36"/>
    </row>
    <row r="71" spans="1:14" s="9" customFormat="1" ht="20.399999999999999" x14ac:dyDescent="0.25">
      <c r="A71" s="140" t="s">
        <v>1446</v>
      </c>
      <c r="B71" s="140" t="s">
        <v>1019</v>
      </c>
      <c r="C71" s="34" t="s">
        <v>21</v>
      </c>
      <c r="D71" s="35"/>
      <c r="E71" s="35">
        <v>1</v>
      </c>
      <c r="F71" s="46" t="s">
        <v>1021</v>
      </c>
      <c r="G71" s="72">
        <v>1</v>
      </c>
      <c r="H71" s="73" t="s">
        <v>14</v>
      </c>
      <c r="I71" s="51">
        <v>47</v>
      </c>
      <c r="J71" s="51">
        <v>47</v>
      </c>
      <c r="K71" s="82"/>
      <c r="L71" s="82"/>
      <c r="M71" s="82"/>
      <c r="N71" s="36" t="s">
        <v>1020</v>
      </c>
    </row>
    <row r="72" spans="1:14" s="9" customFormat="1" ht="20.399999999999999" x14ac:dyDescent="0.25">
      <c r="A72" s="140" t="s">
        <v>1446</v>
      </c>
      <c r="B72" s="140" t="s">
        <v>1019</v>
      </c>
      <c r="C72" s="34" t="s">
        <v>21</v>
      </c>
      <c r="D72" s="35"/>
      <c r="E72" s="35">
        <v>1</v>
      </c>
      <c r="F72" s="46" t="s">
        <v>1022</v>
      </c>
      <c r="G72" s="72">
        <v>1</v>
      </c>
      <c r="H72" s="73" t="s">
        <v>14</v>
      </c>
      <c r="I72" s="51">
        <v>9</v>
      </c>
      <c r="J72" s="51">
        <v>9</v>
      </c>
      <c r="K72" s="82"/>
      <c r="L72" s="82"/>
      <c r="M72" s="82"/>
      <c r="N72" s="36" t="s">
        <v>1020</v>
      </c>
    </row>
    <row r="73" spans="1:14" s="9" customFormat="1" ht="20.399999999999999" x14ac:dyDescent="0.25">
      <c r="A73" s="140" t="s">
        <v>1446</v>
      </c>
      <c r="B73" s="140" t="s">
        <v>1019</v>
      </c>
      <c r="C73" s="34" t="s">
        <v>21</v>
      </c>
      <c r="D73" s="35"/>
      <c r="E73" s="35">
        <v>1</v>
      </c>
      <c r="F73" s="46" t="s">
        <v>1023</v>
      </c>
      <c r="G73" s="72">
        <v>1</v>
      </c>
      <c r="H73" s="73" t="s">
        <v>14</v>
      </c>
      <c r="I73" s="51">
        <v>13</v>
      </c>
      <c r="J73" s="51">
        <v>13</v>
      </c>
      <c r="K73" s="82"/>
      <c r="L73" s="82"/>
      <c r="M73" s="82"/>
      <c r="N73" s="36" t="s">
        <v>1020</v>
      </c>
    </row>
    <row r="74" spans="1:14" s="9" customFormat="1" ht="20.399999999999999" x14ac:dyDescent="0.25">
      <c r="A74" s="140" t="s">
        <v>1446</v>
      </c>
      <c r="B74" s="140" t="s">
        <v>1019</v>
      </c>
      <c r="C74" s="34" t="s">
        <v>21</v>
      </c>
      <c r="D74" s="35"/>
      <c r="E74" s="35">
        <v>1</v>
      </c>
      <c r="F74" s="46" t="s">
        <v>1024</v>
      </c>
      <c r="G74" s="72">
        <v>2</v>
      </c>
      <c r="H74" s="73" t="s">
        <v>14</v>
      </c>
      <c r="I74" s="51">
        <v>7</v>
      </c>
      <c r="J74" s="51">
        <v>7</v>
      </c>
      <c r="K74" s="82"/>
      <c r="L74" s="82"/>
      <c r="M74" s="82"/>
      <c r="N74" s="36" t="s">
        <v>1020</v>
      </c>
    </row>
    <row r="75" spans="1:14" s="9" customFormat="1" ht="26.4" x14ac:dyDescent="0.25">
      <c r="A75" s="140" t="s">
        <v>1446</v>
      </c>
      <c r="B75" s="140" t="s">
        <v>1019</v>
      </c>
      <c r="C75" s="34" t="s">
        <v>21</v>
      </c>
      <c r="D75" s="35"/>
      <c r="E75" s="35">
        <v>1</v>
      </c>
      <c r="F75" s="46" t="s">
        <v>1445</v>
      </c>
      <c r="G75" s="72">
        <v>1</v>
      </c>
      <c r="H75" s="76" t="s">
        <v>14</v>
      </c>
      <c r="I75" s="51">
        <v>12000</v>
      </c>
      <c r="J75" s="51">
        <v>12000</v>
      </c>
      <c r="K75" s="82">
        <v>5.4</v>
      </c>
      <c r="L75" s="82">
        <v>1.1499999999999999</v>
      </c>
      <c r="M75" s="82">
        <v>1.76</v>
      </c>
      <c r="N75" s="36" t="s">
        <v>2</v>
      </c>
    </row>
    <row r="76" spans="1:14" s="9" customFormat="1" ht="26.4" x14ac:dyDescent="0.25">
      <c r="A76" s="140" t="s">
        <v>1446</v>
      </c>
      <c r="B76" s="140" t="s">
        <v>1019</v>
      </c>
      <c r="C76" s="34" t="s">
        <v>21</v>
      </c>
      <c r="D76" s="35"/>
      <c r="E76" s="35">
        <v>1</v>
      </c>
      <c r="F76" s="46" t="s">
        <v>1038</v>
      </c>
      <c r="G76" s="72">
        <v>1</v>
      </c>
      <c r="H76" s="76" t="s">
        <v>14</v>
      </c>
      <c r="I76" s="51">
        <v>500</v>
      </c>
      <c r="J76" s="51">
        <v>500</v>
      </c>
      <c r="K76" s="82">
        <v>2</v>
      </c>
      <c r="L76" s="82">
        <v>0.8</v>
      </c>
      <c r="M76" s="82">
        <v>0.8</v>
      </c>
      <c r="N76" s="36" t="s">
        <v>85</v>
      </c>
    </row>
    <row r="77" spans="1:14" s="9" customFormat="1" ht="26.4" x14ac:dyDescent="0.25">
      <c r="A77" s="140" t="s">
        <v>1446</v>
      </c>
      <c r="B77" s="140" t="s">
        <v>1584</v>
      </c>
      <c r="C77" s="34" t="s">
        <v>21</v>
      </c>
      <c r="D77" s="35" t="s">
        <v>1637</v>
      </c>
      <c r="E77" s="35">
        <v>1</v>
      </c>
      <c r="F77" s="46" t="s">
        <v>1638</v>
      </c>
      <c r="G77" s="75">
        <v>1</v>
      </c>
      <c r="H77" s="76" t="s">
        <v>1593</v>
      </c>
      <c r="I77" s="51">
        <v>12660</v>
      </c>
      <c r="J77" s="51">
        <v>12660</v>
      </c>
      <c r="K77" s="82">
        <v>5.4</v>
      </c>
      <c r="L77" s="82">
        <v>1.1399999999999999</v>
      </c>
      <c r="M77" s="82">
        <v>2.5099999999999998</v>
      </c>
      <c r="N77" s="36"/>
    </row>
    <row r="78" spans="1:14" s="9" customFormat="1" ht="26.4" x14ac:dyDescent="0.25">
      <c r="A78" s="140" t="s">
        <v>1446</v>
      </c>
      <c r="B78" s="140" t="s">
        <v>1584</v>
      </c>
      <c r="C78" s="34" t="s">
        <v>21</v>
      </c>
      <c r="D78" s="35" t="s">
        <v>1637</v>
      </c>
      <c r="E78" s="35">
        <v>1</v>
      </c>
      <c r="F78" s="46" t="s">
        <v>1639</v>
      </c>
      <c r="G78" s="128">
        <v>1</v>
      </c>
      <c r="H78" s="76" t="s">
        <v>14</v>
      </c>
      <c r="I78" s="51">
        <v>1870</v>
      </c>
      <c r="J78" s="51">
        <v>1870</v>
      </c>
      <c r="K78" s="82">
        <v>1.6</v>
      </c>
      <c r="L78" s="82">
        <v>1.2</v>
      </c>
      <c r="M78" s="82">
        <v>1.1200000000000001</v>
      </c>
      <c r="N78" s="36"/>
    </row>
    <row r="79" spans="1:14" s="9" customFormat="1" ht="20.399999999999999" x14ac:dyDescent="0.25">
      <c r="A79" s="140" t="s">
        <v>1446</v>
      </c>
      <c r="B79" s="140" t="s">
        <v>1584</v>
      </c>
      <c r="C79" s="34" t="s">
        <v>21</v>
      </c>
      <c r="D79" s="35" t="s">
        <v>1637</v>
      </c>
      <c r="E79" s="35">
        <v>1</v>
      </c>
      <c r="F79" s="46" t="s">
        <v>1640</v>
      </c>
      <c r="G79" s="128">
        <v>1</v>
      </c>
      <c r="H79" s="129" t="s">
        <v>14</v>
      </c>
      <c r="I79" s="48">
        <v>60</v>
      </c>
      <c r="J79" s="149">
        <v>60</v>
      </c>
      <c r="K79" s="82">
        <v>1.81</v>
      </c>
      <c r="L79" s="82">
        <v>0.61</v>
      </c>
      <c r="M79" s="82">
        <v>0.32</v>
      </c>
      <c r="N79" s="36"/>
    </row>
    <row r="80" spans="1:14" s="9" customFormat="1" ht="26.4" x14ac:dyDescent="0.25">
      <c r="A80" s="140" t="s">
        <v>1446</v>
      </c>
      <c r="B80" s="140" t="s">
        <v>1584</v>
      </c>
      <c r="C80" s="34" t="s">
        <v>21</v>
      </c>
      <c r="D80" s="35" t="s">
        <v>1637</v>
      </c>
      <c r="E80" s="35">
        <v>1</v>
      </c>
      <c r="F80" s="46" t="s">
        <v>1641</v>
      </c>
      <c r="G80" s="128">
        <v>3</v>
      </c>
      <c r="H80" s="129" t="s">
        <v>14</v>
      </c>
      <c r="I80" s="51">
        <v>65</v>
      </c>
      <c r="J80" s="51">
        <v>100</v>
      </c>
      <c r="K80" s="82">
        <v>1</v>
      </c>
      <c r="L80" s="82">
        <v>0.83</v>
      </c>
      <c r="M80" s="82">
        <v>0.76</v>
      </c>
      <c r="N80" s="36"/>
    </row>
    <row r="81" spans="1:14" s="9" customFormat="1" ht="26.4" x14ac:dyDescent="0.25">
      <c r="A81" s="140" t="s">
        <v>1645</v>
      </c>
      <c r="B81" s="140" t="s">
        <v>1584</v>
      </c>
      <c r="C81" s="34" t="s">
        <v>21</v>
      </c>
      <c r="D81" s="35" t="s">
        <v>1642</v>
      </c>
      <c r="E81" s="35">
        <v>1</v>
      </c>
      <c r="F81" s="46" t="s">
        <v>1643</v>
      </c>
      <c r="G81" s="75">
        <v>1</v>
      </c>
      <c r="H81" s="76" t="s">
        <v>14</v>
      </c>
      <c r="I81" s="51">
        <v>12360</v>
      </c>
      <c r="J81" s="51">
        <v>12360</v>
      </c>
      <c r="K81" s="82">
        <v>5.4</v>
      </c>
      <c r="L81" s="82">
        <v>1.1399999999999999</v>
      </c>
      <c r="M81" s="82">
        <v>2.5099999999999998</v>
      </c>
      <c r="N81" s="36"/>
    </row>
    <row r="82" spans="1:14" s="9" customFormat="1" ht="26.4" x14ac:dyDescent="0.25">
      <c r="A82" s="140" t="s">
        <v>1645</v>
      </c>
      <c r="B82" s="140" t="s">
        <v>1584</v>
      </c>
      <c r="C82" s="34" t="s">
        <v>21</v>
      </c>
      <c r="D82" s="35" t="s">
        <v>1642</v>
      </c>
      <c r="E82" s="35">
        <v>1</v>
      </c>
      <c r="F82" s="46" t="s">
        <v>1644</v>
      </c>
      <c r="G82" s="128">
        <v>1</v>
      </c>
      <c r="H82" s="76" t="s">
        <v>14</v>
      </c>
      <c r="I82" s="51">
        <v>1425</v>
      </c>
      <c r="J82" s="51">
        <v>1425</v>
      </c>
      <c r="K82" s="82">
        <v>1.39</v>
      </c>
      <c r="L82" s="82">
        <v>1.1000000000000001</v>
      </c>
      <c r="M82" s="82">
        <v>1.05</v>
      </c>
      <c r="N82" s="36"/>
    </row>
    <row r="83" spans="1:14" s="9" customFormat="1" ht="66" x14ac:dyDescent="0.25">
      <c r="A83" s="140" t="s">
        <v>1446</v>
      </c>
      <c r="B83" s="140" t="s">
        <v>1584</v>
      </c>
      <c r="C83" s="34" t="s">
        <v>20</v>
      </c>
      <c r="D83" s="35" t="s">
        <v>1649</v>
      </c>
      <c r="E83" s="35">
        <v>1</v>
      </c>
      <c r="F83" s="46" t="s">
        <v>1652</v>
      </c>
      <c r="G83" s="75">
        <v>5</v>
      </c>
      <c r="H83" s="76" t="s">
        <v>14</v>
      </c>
      <c r="I83" s="51">
        <v>300</v>
      </c>
      <c r="J83" s="51">
        <v>530</v>
      </c>
      <c r="K83" s="82">
        <v>2.58</v>
      </c>
      <c r="L83" s="82">
        <v>1.08</v>
      </c>
      <c r="M83" s="82">
        <v>1.04</v>
      </c>
      <c r="N83" s="36"/>
    </row>
    <row r="84" spans="1:14" s="9" customFormat="1" ht="13.8" x14ac:dyDescent="0.25">
      <c r="A84" s="140"/>
      <c r="B84" s="140"/>
      <c r="C84" s="34"/>
      <c r="D84" s="35"/>
      <c r="E84" s="35"/>
      <c r="F84" s="46"/>
      <c r="G84" s="72"/>
      <c r="H84" s="73"/>
      <c r="I84" s="51"/>
      <c r="J84" s="51"/>
      <c r="K84" s="82"/>
      <c r="L84" s="82"/>
      <c r="M84" s="82"/>
      <c r="N84" s="36"/>
    </row>
    <row r="85" spans="1:14" s="9" customFormat="1" ht="13.8" x14ac:dyDescent="0.25">
      <c r="A85" s="140"/>
      <c r="B85" s="140"/>
      <c r="C85" s="34"/>
      <c r="D85" s="35"/>
      <c r="E85" s="35"/>
      <c r="F85" s="46"/>
      <c r="G85" s="72"/>
      <c r="H85" s="76"/>
      <c r="I85" s="48"/>
      <c r="J85" s="48"/>
      <c r="K85" s="82"/>
      <c r="L85" s="82"/>
      <c r="M85" s="82"/>
      <c r="N85" s="36"/>
    </row>
    <row r="86" spans="1:14" x14ac:dyDescent="0.25">
      <c r="F86" s="1"/>
      <c r="G86" s="1"/>
      <c r="H86" s="1"/>
      <c r="I86" s="18"/>
      <c r="J86" s="18"/>
      <c r="K86" s="18"/>
      <c r="L86" s="18"/>
    </row>
    <row r="87" spans="1:14" x14ac:dyDescent="0.25">
      <c r="F87" s="1"/>
      <c r="G87" s="1"/>
      <c r="H87" s="1"/>
      <c r="I87" s="18"/>
      <c r="J87" s="18"/>
      <c r="K87" s="18"/>
      <c r="L87" s="18"/>
    </row>
    <row r="88" spans="1:14" x14ac:dyDescent="0.25">
      <c r="F88" s="1"/>
      <c r="G88" s="1"/>
      <c r="H88" s="1"/>
      <c r="I88" s="18"/>
      <c r="J88" s="18"/>
      <c r="K88" s="18"/>
      <c r="L88" s="18"/>
    </row>
    <row r="89" spans="1:14" x14ac:dyDescent="0.25">
      <c r="F89" s="1"/>
      <c r="G89" s="1"/>
      <c r="H89" s="1"/>
      <c r="I89" s="18"/>
      <c r="J89" s="18"/>
      <c r="K89" s="18"/>
      <c r="L89" s="18"/>
    </row>
    <row r="90" spans="1:14" x14ac:dyDescent="0.25">
      <c r="F90" s="1"/>
      <c r="G90" s="1"/>
      <c r="H90" s="1"/>
      <c r="I90" s="18"/>
      <c r="J90" s="18"/>
      <c r="K90" s="18"/>
      <c r="L90" s="18"/>
    </row>
    <row r="91" spans="1:14" x14ac:dyDescent="0.25">
      <c r="F91" s="1"/>
      <c r="G91" s="1"/>
      <c r="H91" s="1"/>
      <c r="J91" s="18"/>
      <c r="K91" s="18"/>
      <c r="L91"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FDC-5279-4593-BF12-12B3200F88C6}">
  <dimension ref="B1:Q85"/>
  <sheetViews>
    <sheetView topLeftCell="B1" zoomScaleNormal="100" workbookViewId="0">
      <selection activeCell="O1" sqref="O1"/>
    </sheetView>
  </sheetViews>
  <sheetFormatPr defaultRowHeight="13.2" x14ac:dyDescent="0.25"/>
  <cols>
    <col min="1" max="1" width="1.44140625" customWidth="1"/>
    <col min="3" max="3" width="12.44140625" bestFit="1" customWidth="1"/>
    <col min="4" max="4" width="12" bestFit="1" customWidth="1"/>
    <col min="5" max="5" width="12.33203125" customWidth="1"/>
    <col min="6" max="6" width="5.109375" customWidth="1"/>
    <col min="7" max="7" width="52.44140625" customWidth="1"/>
    <col min="8" max="9" width="6.109375" customWidth="1"/>
    <col min="10" max="10" width="16.44140625" style="16" customWidth="1"/>
    <col min="11" max="11" width="15.5546875" style="16" customWidth="1"/>
    <col min="12" max="13" width="6.5546875" style="16" customWidth="1"/>
    <col min="14" max="14" width="6.5546875" customWidth="1"/>
    <col min="15" max="15" width="24.33203125" bestFit="1" customWidth="1"/>
  </cols>
  <sheetData>
    <row r="1" spans="2:17" ht="30.75" customHeight="1" thickBot="1" x14ac:dyDescent="0.3">
      <c r="B1" s="2" t="s">
        <v>77</v>
      </c>
      <c r="C1" s="3" t="s">
        <v>80</v>
      </c>
      <c r="D1" s="3" t="s">
        <v>89</v>
      </c>
      <c r="E1" s="3" t="s">
        <v>13</v>
      </c>
      <c r="F1" s="11" t="s">
        <v>14</v>
      </c>
      <c r="G1" s="4" t="s">
        <v>15</v>
      </c>
      <c r="H1" s="266" t="s">
        <v>227</v>
      </c>
      <c r="I1" s="267"/>
      <c r="J1" s="17" t="s">
        <v>16</v>
      </c>
      <c r="K1" s="17" t="s">
        <v>17</v>
      </c>
      <c r="L1" s="4" t="s">
        <v>1737</v>
      </c>
      <c r="M1" s="265" t="s">
        <v>1741</v>
      </c>
      <c r="N1" s="81" t="s">
        <v>1739</v>
      </c>
      <c r="O1" s="39" t="s">
        <v>124</v>
      </c>
      <c r="P1" s="7"/>
      <c r="Q1" s="7"/>
    </row>
    <row r="2" spans="2:17" s="8" customFormat="1" ht="26.4" x14ac:dyDescent="0.25">
      <c r="B2" s="140" t="s">
        <v>1414</v>
      </c>
      <c r="C2" s="140" t="s">
        <v>426</v>
      </c>
      <c r="D2" s="34" t="s">
        <v>21</v>
      </c>
      <c r="E2" s="35" t="s">
        <v>455</v>
      </c>
      <c r="F2" s="35">
        <v>1</v>
      </c>
      <c r="G2" s="46" t="s">
        <v>1415</v>
      </c>
      <c r="H2" s="128">
        <v>1</v>
      </c>
      <c r="I2" s="129" t="s">
        <v>14</v>
      </c>
      <c r="J2" s="48">
        <v>10885</v>
      </c>
      <c r="K2" s="48">
        <v>10885</v>
      </c>
      <c r="L2" s="82">
        <v>5.18</v>
      </c>
      <c r="M2" s="82">
        <v>1.1399999999999999</v>
      </c>
      <c r="N2" s="82">
        <v>2.46</v>
      </c>
      <c r="O2" s="36" t="s">
        <v>452</v>
      </c>
    </row>
    <row r="3" spans="2:17" s="8" customFormat="1" ht="26.4" x14ac:dyDescent="0.25">
      <c r="B3" s="140" t="s">
        <v>1414</v>
      </c>
      <c r="C3" s="140" t="s">
        <v>426</v>
      </c>
      <c r="D3" s="34" t="s">
        <v>21</v>
      </c>
      <c r="E3" s="35" t="s">
        <v>455</v>
      </c>
      <c r="F3" s="35">
        <v>1</v>
      </c>
      <c r="G3" s="46" t="s">
        <v>1653</v>
      </c>
      <c r="H3" s="128">
        <v>1</v>
      </c>
      <c r="I3" s="129" t="s">
        <v>14</v>
      </c>
      <c r="J3" s="48">
        <v>3260</v>
      </c>
      <c r="K3" s="48">
        <v>3260</v>
      </c>
      <c r="L3" s="82"/>
      <c r="M3" s="82"/>
      <c r="N3" s="82"/>
      <c r="O3" s="36" t="s">
        <v>1</v>
      </c>
    </row>
    <row r="4" spans="2:17" s="8" customFormat="1" ht="26.4" x14ac:dyDescent="0.25">
      <c r="B4" s="140" t="s">
        <v>1414</v>
      </c>
      <c r="C4" s="140" t="s">
        <v>1033</v>
      </c>
      <c r="D4" s="34" t="s">
        <v>21</v>
      </c>
      <c r="E4" s="35" t="s">
        <v>990</v>
      </c>
      <c r="F4" s="35">
        <v>1</v>
      </c>
      <c r="G4" s="46" t="s">
        <v>1030</v>
      </c>
      <c r="H4" s="128">
        <v>1</v>
      </c>
      <c r="I4" s="129" t="s">
        <v>14</v>
      </c>
      <c r="J4" s="48">
        <v>10850</v>
      </c>
      <c r="K4" s="48">
        <v>10850</v>
      </c>
      <c r="L4" s="82">
        <v>5</v>
      </c>
      <c r="M4" s="82">
        <v>1.1399999999999999</v>
      </c>
      <c r="N4" s="82">
        <v>2.46</v>
      </c>
      <c r="O4" s="36" t="s">
        <v>452</v>
      </c>
    </row>
    <row r="5" spans="2:17" s="8" customFormat="1" ht="26.4" x14ac:dyDescent="0.25">
      <c r="B5" s="140" t="s">
        <v>1414</v>
      </c>
      <c r="C5" s="140" t="s">
        <v>1033</v>
      </c>
      <c r="D5" s="34" t="s">
        <v>21</v>
      </c>
      <c r="E5" s="35" t="s">
        <v>990</v>
      </c>
      <c r="F5" s="35">
        <v>1</v>
      </c>
      <c r="G5" s="46" t="s">
        <v>1031</v>
      </c>
      <c r="H5" s="128">
        <v>1</v>
      </c>
      <c r="I5" s="129" t="s">
        <v>14</v>
      </c>
      <c r="J5" s="52">
        <v>935</v>
      </c>
      <c r="K5" s="51">
        <v>935</v>
      </c>
      <c r="L5" s="82">
        <v>1.2</v>
      </c>
      <c r="M5" s="82">
        <v>1.05</v>
      </c>
      <c r="N5" s="82">
        <v>1</v>
      </c>
      <c r="O5" s="36" t="s">
        <v>85</v>
      </c>
    </row>
    <row r="6" spans="2:17" s="8" customFormat="1" ht="20.399999999999999" x14ac:dyDescent="0.25">
      <c r="B6" s="140" t="s">
        <v>1414</v>
      </c>
      <c r="C6" s="140" t="s">
        <v>1033</v>
      </c>
      <c r="D6" s="34" t="s">
        <v>18</v>
      </c>
      <c r="E6" s="35" t="s">
        <v>990</v>
      </c>
      <c r="F6" s="35">
        <v>1</v>
      </c>
      <c r="G6" s="46" t="s">
        <v>1032</v>
      </c>
      <c r="H6" s="128">
        <v>1</v>
      </c>
      <c r="I6" s="129" t="s">
        <v>14</v>
      </c>
      <c r="J6" s="48">
        <v>55</v>
      </c>
      <c r="K6" s="149">
        <v>70</v>
      </c>
      <c r="L6" s="82">
        <v>2.0499999999999998</v>
      </c>
      <c r="M6" s="82">
        <v>1</v>
      </c>
      <c r="N6" s="82">
        <v>0.35</v>
      </c>
      <c r="O6" s="36" t="s">
        <v>85</v>
      </c>
    </row>
    <row r="7" spans="2:17" s="8" customFormat="1" ht="39.6" x14ac:dyDescent="0.25">
      <c r="B7" s="140" t="s">
        <v>1414</v>
      </c>
      <c r="C7" s="140" t="s">
        <v>426</v>
      </c>
      <c r="D7" s="34" t="s">
        <v>21</v>
      </c>
      <c r="E7" s="35" t="s">
        <v>555</v>
      </c>
      <c r="F7" s="35">
        <v>1</v>
      </c>
      <c r="G7" s="46" t="s">
        <v>1416</v>
      </c>
      <c r="H7" s="128">
        <v>1</v>
      </c>
      <c r="I7" s="76" t="s">
        <v>14</v>
      </c>
      <c r="J7" s="52">
        <v>960</v>
      </c>
      <c r="K7" s="51">
        <v>960</v>
      </c>
      <c r="L7" s="82">
        <v>1.1599999999999999</v>
      </c>
      <c r="M7" s="82">
        <v>0.85</v>
      </c>
      <c r="N7" s="82">
        <v>0.96</v>
      </c>
      <c r="O7" s="36" t="s">
        <v>85</v>
      </c>
    </row>
    <row r="8" spans="2:17" s="8" customFormat="1" ht="39.6" x14ac:dyDescent="0.25">
      <c r="B8" s="140" t="s">
        <v>1414</v>
      </c>
      <c r="C8" s="140" t="s">
        <v>426</v>
      </c>
      <c r="D8" s="34" t="s">
        <v>21</v>
      </c>
      <c r="E8" s="35" t="s">
        <v>555</v>
      </c>
      <c r="F8" s="35">
        <v>1</v>
      </c>
      <c r="G8" s="46" t="s">
        <v>1417</v>
      </c>
      <c r="H8" s="128">
        <v>1</v>
      </c>
      <c r="I8" s="76" t="s">
        <v>14</v>
      </c>
      <c r="J8" s="52">
        <v>1010</v>
      </c>
      <c r="K8" s="51">
        <v>1010</v>
      </c>
      <c r="L8" s="82">
        <v>1.1599999999999999</v>
      </c>
      <c r="M8" s="82">
        <v>0.85</v>
      </c>
      <c r="N8" s="82">
        <v>0.96</v>
      </c>
      <c r="O8" s="36" t="s">
        <v>85</v>
      </c>
    </row>
    <row r="9" spans="2:17" s="8" customFormat="1" ht="26.4" x14ac:dyDescent="0.25">
      <c r="B9" s="140" t="s">
        <v>1414</v>
      </c>
      <c r="C9" s="140" t="s">
        <v>426</v>
      </c>
      <c r="D9" s="34" t="s">
        <v>18</v>
      </c>
      <c r="E9" s="35" t="s">
        <v>556</v>
      </c>
      <c r="F9" s="35">
        <v>1</v>
      </c>
      <c r="G9" s="46" t="s">
        <v>1418</v>
      </c>
      <c r="H9" s="128">
        <v>4</v>
      </c>
      <c r="I9" s="129" t="s">
        <v>14</v>
      </c>
      <c r="J9" s="48">
        <v>140</v>
      </c>
      <c r="K9" s="149">
        <v>165</v>
      </c>
      <c r="L9" s="82">
        <v>2.1</v>
      </c>
      <c r="M9" s="82">
        <v>0.8</v>
      </c>
      <c r="N9" s="82">
        <v>0.85</v>
      </c>
      <c r="O9" s="36" t="s">
        <v>85</v>
      </c>
    </row>
    <row r="10" spans="2:17" s="8" customFormat="1" ht="39.6" x14ac:dyDescent="0.25">
      <c r="B10" s="140" t="s">
        <v>1414</v>
      </c>
      <c r="C10" s="140" t="s">
        <v>426</v>
      </c>
      <c r="D10" s="34" t="s">
        <v>21</v>
      </c>
      <c r="E10" s="35" t="s">
        <v>556</v>
      </c>
      <c r="F10" s="35">
        <v>1</v>
      </c>
      <c r="G10" s="46" t="s">
        <v>557</v>
      </c>
      <c r="H10" s="75">
        <v>4</v>
      </c>
      <c r="I10" s="129" t="s">
        <v>14</v>
      </c>
      <c r="J10" s="48">
        <v>335</v>
      </c>
      <c r="K10" s="48">
        <v>335</v>
      </c>
      <c r="L10" s="82">
        <v>0.86</v>
      </c>
      <c r="M10" s="82">
        <v>0.8</v>
      </c>
      <c r="N10" s="82">
        <v>0.96</v>
      </c>
      <c r="O10" s="36" t="s">
        <v>85</v>
      </c>
    </row>
    <row r="11" spans="2:17" s="8" customFormat="1" ht="92.4" x14ac:dyDescent="0.25">
      <c r="B11" s="140" t="s">
        <v>1414</v>
      </c>
      <c r="C11" s="140" t="s">
        <v>426</v>
      </c>
      <c r="D11" s="34" t="s">
        <v>20</v>
      </c>
      <c r="E11" s="35" t="s">
        <v>556</v>
      </c>
      <c r="F11" s="35">
        <v>1</v>
      </c>
      <c r="G11" s="46" t="s">
        <v>558</v>
      </c>
      <c r="H11" s="75">
        <v>30</v>
      </c>
      <c r="I11" s="129" t="s">
        <v>14</v>
      </c>
      <c r="J11" s="48">
        <v>150</v>
      </c>
      <c r="K11" s="149">
        <v>180</v>
      </c>
      <c r="L11" s="82">
        <v>1.1499999999999999</v>
      </c>
      <c r="M11" s="82">
        <v>0.75</v>
      </c>
      <c r="N11" s="82">
        <v>0.75</v>
      </c>
      <c r="O11" s="36" t="s">
        <v>85</v>
      </c>
    </row>
    <row r="12" spans="2:17" s="8" customFormat="1" ht="20.399999999999999" x14ac:dyDescent="0.25">
      <c r="B12" s="140" t="s">
        <v>1414</v>
      </c>
      <c r="C12" s="140" t="s">
        <v>426</v>
      </c>
      <c r="D12" s="34" t="s">
        <v>509</v>
      </c>
      <c r="E12" s="35" t="s">
        <v>556</v>
      </c>
      <c r="F12" s="35">
        <v>1</v>
      </c>
      <c r="G12" s="46" t="s">
        <v>559</v>
      </c>
      <c r="H12" s="75">
        <v>3</v>
      </c>
      <c r="I12" s="129" t="s">
        <v>14</v>
      </c>
      <c r="J12" s="48">
        <v>190</v>
      </c>
      <c r="K12" s="149">
        <v>210</v>
      </c>
      <c r="L12" s="82">
        <v>1.2</v>
      </c>
      <c r="M12" s="82">
        <v>0.8</v>
      </c>
      <c r="N12" s="82">
        <v>1.08</v>
      </c>
      <c r="O12" s="36" t="s">
        <v>85</v>
      </c>
    </row>
    <row r="13" spans="2:17" s="8" customFormat="1" ht="26.4" x14ac:dyDescent="0.25">
      <c r="B13" s="140" t="s">
        <v>1414</v>
      </c>
      <c r="C13" s="140" t="s">
        <v>426</v>
      </c>
      <c r="D13" s="34" t="s">
        <v>21</v>
      </c>
      <c r="E13" s="35" t="s">
        <v>601</v>
      </c>
      <c r="F13" s="35">
        <v>1</v>
      </c>
      <c r="G13" s="46" t="s">
        <v>1419</v>
      </c>
      <c r="H13" s="75">
        <v>1</v>
      </c>
      <c r="I13" s="129" t="s">
        <v>14</v>
      </c>
      <c r="J13" s="48">
        <v>80</v>
      </c>
      <c r="K13" s="149">
        <v>80</v>
      </c>
      <c r="L13" s="82">
        <v>1.26</v>
      </c>
      <c r="M13" s="82">
        <v>0.28999999999999998</v>
      </c>
      <c r="N13" s="82">
        <v>0.45</v>
      </c>
      <c r="O13" s="36" t="s">
        <v>85</v>
      </c>
    </row>
    <row r="14" spans="2:17" s="8" customFormat="1" ht="20.399999999999999" x14ac:dyDescent="0.25">
      <c r="B14" s="140" t="s">
        <v>1414</v>
      </c>
      <c r="C14" s="140" t="s">
        <v>426</v>
      </c>
      <c r="D14" s="34" t="s">
        <v>21</v>
      </c>
      <c r="E14" s="35" t="s">
        <v>455</v>
      </c>
      <c r="F14" s="35">
        <v>1</v>
      </c>
      <c r="G14" s="46" t="s">
        <v>457</v>
      </c>
      <c r="H14" s="72">
        <v>1</v>
      </c>
      <c r="I14" s="76" t="s">
        <v>14</v>
      </c>
      <c r="J14" s="52">
        <v>1600</v>
      </c>
      <c r="K14" s="51">
        <v>1600</v>
      </c>
      <c r="L14" s="82"/>
      <c r="M14" s="82"/>
      <c r="N14" s="82"/>
      <c r="O14" s="36" t="s">
        <v>182</v>
      </c>
    </row>
    <row r="15" spans="2:17" s="8" customFormat="1" ht="20.399999999999999" x14ac:dyDescent="0.25">
      <c r="B15" s="140" t="s">
        <v>1414</v>
      </c>
      <c r="C15" s="140" t="s">
        <v>1013</v>
      </c>
      <c r="D15" s="34" t="s">
        <v>21</v>
      </c>
      <c r="E15" s="35"/>
      <c r="F15" s="35">
        <v>1</v>
      </c>
      <c r="G15" s="46" t="s">
        <v>1014</v>
      </c>
      <c r="H15" s="72">
        <v>1</v>
      </c>
      <c r="I15" s="76" t="s">
        <v>14</v>
      </c>
      <c r="J15" s="52">
        <v>2128</v>
      </c>
      <c r="K15" s="51">
        <v>2128</v>
      </c>
      <c r="L15" s="82"/>
      <c r="M15" s="82"/>
      <c r="N15" s="82"/>
      <c r="O15" s="36" t="s">
        <v>1010</v>
      </c>
    </row>
    <row r="16" spans="2:17" s="8" customFormat="1" ht="20.399999999999999" x14ac:dyDescent="0.25">
      <c r="B16" s="140" t="s">
        <v>1414</v>
      </c>
      <c r="C16" s="140" t="s">
        <v>426</v>
      </c>
      <c r="D16" s="34" t="s">
        <v>21</v>
      </c>
      <c r="E16" s="35" t="s">
        <v>455</v>
      </c>
      <c r="F16" s="148">
        <v>1</v>
      </c>
      <c r="G16" s="46" t="s">
        <v>554</v>
      </c>
      <c r="H16" s="72">
        <v>1</v>
      </c>
      <c r="I16" s="76" t="s">
        <v>14</v>
      </c>
      <c r="J16" s="52">
        <v>32</v>
      </c>
      <c r="K16" s="51">
        <v>32</v>
      </c>
      <c r="L16" s="82"/>
      <c r="M16" s="82"/>
      <c r="N16" s="82"/>
      <c r="O16" s="36" t="s">
        <v>182</v>
      </c>
    </row>
    <row r="17" spans="2:15" s="8" customFormat="1" ht="26.4" x14ac:dyDescent="0.25">
      <c r="B17" s="140" t="s">
        <v>1414</v>
      </c>
      <c r="C17" s="140" t="s">
        <v>426</v>
      </c>
      <c r="D17" s="34" t="s">
        <v>21</v>
      </c>
      <c r="E17" s="35" t="s">
        <v>455</v>
      </c>
      <c r="F17" s="35">
        <v>1</v>
      </c>
      <c r="G17" s="46" t="s">
        <v>458</v>
      </c>
      <c r="H17" s="72">
        <v>1</v>
      </c>
      <c r="I17" s="76" t="s">
        <v>14</v>
      </c>
      <c r="J17" s="52">
        <v>4.9000000000000004</v>
      </c>
      <c r="K17" s="51">
        <v>4.9000000000000004</v>
      </c>
      <c r="L17" s="82"/>
      <c r="M17" s="82"/>
      <c r="N17" s="82"/>
      <c r="O17" s="36" t="s">
        <v>182</v>
      </c>
    </row>
    <row r="18" spans="2:15" s="8" customFormat="1" ht="26.4" x14ac:dyDescent="0.25">
      <c r="B18" s="140" t="s">
        <v>1414</v>
      </c>
      <c r="C18" s="140" t="s">
        <v>426</v>
      </c>
      <c r="D18" s="34" t="s">
        <v>21</v>
      </c>
      <c r="E18" s="35" t="s">
        <v>455</v>
      </c>
      <c r="F18" s="35">
        <v>1</v>
      </c>
      <c r="G18" s="46" t="s">
        <v>459</v>
      </c>
      <c r="H18" s="72">
        <v>1</v>
      </c>
      <c r="I18" s="76" t="s">
        <v>14</v>
      </c>
      <c r="J18" s="52">
        <v>11.3</v>
      </c>
      <c r="K18" s="51">
        <v>11.3</v>
      </c>
      <c r="L18" s="82"/>
      <c r="M18" s="82"/>
      <c r="N18" s="82"/>
      <c r="O18" s="36" t="s">
        <v>182</v>
      </c>
    </row>
    <row r="19" spans="2:15" s="8" customFormat="1" ht="26.4" x14ac:dyDescent="0.25">
      <c r="B19" s="140" t="s">
        <v>1414</v>
      </c>
      <c r="C19" s="140" t="s">
        <v>426</v>
      </c>
      <c r="D19" s="34" t="s">
        <v>21</v>
      </c>
      <c r="E19" s="35" t="s">
        <v>455</v>
      </c>
      <c r="F19" s="35">
        <v>1</v>
      </c>
      <c r="G19" s="46" t="s">
        <v>460</v>
      </c>
      <c r="H19" s="72">
        <v>1</v>
      </c>
      <c r="I19" s="76" t="s">
        <v>14</v>
      </c>
      <c r="J19" s="52">
        <v>7.2</v>
      </c>
      <c r="K19" s="51">
        <v>7.2</v>
      </c>
      <c r="L19" s="82"/>
      <c r="M19" s="82"/>
      <c r="N19" s="82"/>
      <c r="O19" s="36" t="s">
        <v>182</v>
      </c>
    </row>
    <row r="20" spans="2:15" s="8" customFormat="1" ht="26.4" x14ac:dyDescent="0.25">
      <c r="B20" s="140" t="s">
        <v>1414</v>
      </c>
      <c r="C20" s="140" t="s">
        <v>426</v>
      </c>
      <c r="D20" s="34" t="s">
        <v>21</v>
      </c>
      <c r="E20" s="35" t="s">
        <v>455</v>
      </c>
      <c r="F20" s="35">
        <v>1</v>
      </c>
      <c r="G20" s="46" t="s">
        <v>461</v>
      </c>
      <c r="H20" s="72">
        <v>1</v>
      </c>
      <c r="I20" s="76" t="s">
        <v>14</v>
      </c>
      <c r="J20" s="52">
        <v>5.45</v>
      </c>
      <c r="K20" s="51">
        <v>5.45</v>
      </c>
      <c r="L20" s="82"/>
      <c r="M20" s="82"/>
      <c r="N20" s="82"/>
      <c r="O20" s="36" t="s">
        <v>182</v>
      </c>
    </row>
    <row r="21" spans="2:15" s="8" customFormat="1" ht="20.399999999999999" x14ac:dyDescent="0.25">
      <c r="B21" s="140" t="s">
        <v>1414</v>
      </c>
      <c r="C21" s="140" t="s">
        <v>426</v>
      </c>
      <c r="D21" s="34" t="s">
        <v>21</v>
      </c>
      <c r="E21" s="35" t="s">
        <v>455</v>
      </c>
      <c r="F21" s="35">
        <v>1</v>
      </c>
      <c r="G21" s="46" t="s">
        <v>462</v>
      </c>
      <c r="H21" s="72">
        <v>1</v>
      </c>
      <c r="I21" s="76" t="s">
        <v>14</v>
      </c>
      <c r="J21" s="52">
        <v>3.1</v>
      </c>
      <c r="K21" s="51">
        <v>3.1</v>
      </c>
      <c r="L21" s="82"/>
      <c r="M21" s="82"/>
      <c r="N21" s="82"/>
      <c r="O21" s="36" t="s">
        <v>182</v>
      </c>
    </row>
    <row r="22" spans="2:15" s="8" customFormat="1" ht="20.399999999999999" x14ac:dyDescent="0.25">
      <c r="B22" s="140" t="s">
        <v>1414</v>
      </c>
      <c r="C22" s="140" t="s">
        <v>426</v>
      </c>
      <c r="D22" s="34" t="s">
        <v>21</v>
      </c>
      <c r="E22" s="35" t="s">
        <v>455</v>
      </c>
      <c r="F22" s="35">
        <v>1</v>
      </c>
      <c r="G22" s="46" t="s">
        <v>463</v>
      </c>
      <c r="H22" s="72">
        <v>1</v>
      </c>
      <c r="I22" s="76" t="s">
        <v>14</v>
      </c>
      <c r="J22" s="52">
        <v>3.6</v>
      </c>
      <c r="K22" s="51">
        <v>3.6</v>
      </c>
      <c r="L22" s="82"/>
      <c r="M22" s="82"/>
      <c r="N22" s="82"/>
      <c r="O22" s="36" t="s">
        <v>182</v>
      </c>
    </row>
    <row r="23" spans="2:15" s="8" customFormat="1" ht="20.399999999999999" x14ac:dyDescent="0.25">
      <c r="B23" s="140" t="s">
        <v>1414</v>
      </c>
      <c r="C23" s="140" t="s">
        <v>426</v>
      </c>
      <c r="D23" s="34" t="s">
        <v>21</v>
      </c>
      <c r="E23" s="35" t="s">
        <v>455</v>
      </c>
      <c r="F23" s="35">
        <v>1</v>
      </c>
      <c r="G23" s="46" t="s">
        <v>465</v>
      </c>
      <c r="H23" s="72">
        <v>1</v>
      </c>
      <c r="I23" s="76" t="s">
        <v>14</v>
      </c>
      <c r="J23" s="52">
        <v>3.5</v>
      </c>
      <c r="K23" s="51">
        <v>3.5</v>
      </c>
      <c r="L23" s="82"/>
      <c r="M23" s="82"/>
      <c r="N23" s="82"/>
      <c r="O23" s="36" t="s">
        <v>182</v>
      </c>
    </row>
    <row r="24" spans="2:15" s="8" customFormat="1" ht="20.399999999999999" x14ac:dyDescent="0.25">
      <c r="B24" s="140" t="s">
        <v>1414</v>
      </c>
      <c r="C24" s="140" t="s">
        <v>426</v>
      </c>
      <c r="D24" s="34" t="s">
        <v>21</v>
      </c>
      <c r="E24" s="35" t="s">
        <v>455</v>
      </c>
      <c r="F24" s="35">
        <v>1</v>
      </c>
      <c r="G24" s="46" t="s">
        <v>466</v>
      </c>
      <c r="H24" s="72">
        <v>1</v>
      </c>
      <c r="I24" s="76" t="s">
        <v>14</v>
      </c>
      <c r="J24" s="52">
        <v>3.3</v>
      </c>
      <c r="K24" s="51">
        <v>3.3</v>
      </c>
      <c r="L24" s="82"/>
      <c r="M24" s="82"/>
      <c r="N24" s="82"/>
      <c r="O24" s="36" t="s">
        <v>182</v>
      </c>
    </row>
    <row r="25" spans="2:15" s="8" customFormat="1" ht="20.399999999999999" x14ac:dyDescent="0.25">
      <c r="B25" s="140" t="s">
        <v>1414</v>
      </c>
      <c r="C25" s="140" t="s">
        <v>426</v>
      </c>
      <c r="D25" s="34" t="s">
        <v>21</v>
      </c>
      <c r="E25" s="35" t="s">
        <v>455</v>
      </c>
      <c r="F25" s="35">
        <v>1</v>
      </c>
      <c r="G25" s="46" t="s">
        <v>467</v>
      </c>
      <c r="H25" s="72">
        <v>1</v>
      </c>
      <c r="I25" s="76" t="s">
        <v>14</v>
      </c>
      <c r="J25" s="52">
        <v>3.4</v>
      </c>
      <c r="K25" s="51">
        <v>3.4</v>
      </c>
      <c r="L25" s="82"/>
      <c r="M25" s="82"/>
      <c r="N25" s="82"/>
      <c r="O25" s="36" t="s">
        <v>182</v>
      </c>
    </row>
    <row r="26" spans="2:15" s="8" customFormat="1" ht="20.399999999999999" x14ac:dyDescent="0.25">
      <c r="B26" s="140" t="s">
        <v>1414</v>
      </c>
      <c r="C26" s="140" t="s">
        <v>426</v>
      </c>
      <c r="D26" s="34" t="s">
        <v>21</v>
      </c>
      <c r="E26" s="35" t="s">
        <v>455</v>
      </c>
      <c r="F26" s="35">
        <v>1</v>
      </c>
      <c r="G26" s="46" t="s">
        <v>468</v>
      </c>
      <c r="H26" s="72">
        <v>1</v>
      </c>
      <c r="I26" s="76" t="s">
        <v>14</v>
      </c>
      <c r="J26" s="52">
        <v>3.4</v>
      </c>
      <c r="K26" s="51">
        <v>3.4</v>
      </c>
      <c r="L26" s="82"/>
      <c r="M26" s="82"/>
      <c r="N26" s="82"/>
      <c r="O26" s="36" t="s">
        <v>182</v>
      </c>
    </row>
    <row r="27" spans="2:15" s="8" customFormat="1" ht="20.399999999999999" x14ac:dyDescent="0.25">
      <c r="B27" s="140" t="s">
        <v>1414</v>
      </c>
      <c r="C27" s="140" t="s">
        <v>426</v>
      </c>
      <c r="D27" s="34" t="s">
        <v>21</v>
      </c>
      <c r="E27" s="35" t="s">
        <v>455</v>
      </c>
      <c r="F27" s="35">
        <v>1</v>
      </c>
      <c r="G27" s="46" t="s">
        <v>469</v>
      </c>
      <c r="H27" s="72">
        <v>1</v>
      </c>
      <c r="I27" s="76" t="s">
        <v>14</v>
      </c>
      <c r="J27" s="52">
        <v>3.2</v>
      </c>
      <c r="K27" s="51">
        <v>3.2</v>
      </c>
      <c r="L27" s="82"/>
      <c r="M27" s="82"/>
      <c r="N27" s="82"/>
      <c r="O27" s="36" t="s">
        <v>182</v>
      </c>
    </row>
    <row r="28" spans="2:15" s="8" customFormat="1" ht="20.399999999999999" x14ac:dyDescent="0.25">
      <c r="B28" s="140" t="s">
        <v>1414</v>
      </c>
      <c r="C28" s="140" t="s">
        <v>426</v>
      </c>
      <c r="D28" s="34" t="s">
        <v>21</v>
      </c>
      <c r="E28" s="35" t="s">
        <v>455</v>
      </c>
      <c r="F28" s="35">
        <v>1</v>
      </c>
      <c r="G28" s="46" t="s">
        <v>470</v>
      </c>
      <c r="H28" s="72">
        <v>1</v>
      </c>
      <c r="I28" s="76" t="s">
        <v>14</v>
      </c>
      <c r="J28" s="52">
        <v>0.41</v>
      </c>
      <c r="K28" s="51">
        <v>0.41</v>
      </c>
      <c r="L28" s="82"/>
      <c r="M28" s="82"/>
      <c r="N28" s="82"/>
      <c r="O28" s="36" t="s">
        <v>182</v>
      </c>
    </row>
    <row r="29" spans="2:15" s="8" customFormat="1" ht="20.399999999999999" x14ac:dyDescent="0.25">
      <c r="B29" s="140" t="s">
        <v>1414</v>
      </c>
      <c r="C29" s="140" t="s">
        <v>426</v>
      </c>
      <c r="D29" s="34" t="s">
        <v>21</v>
      </c>
      <c r="E29" s="35" t="s">
        <v>455</v>
      </c>
      <c r="F29" s="35">
        <v>1</v>
      </c>
      <c r="G29" s="46" t="s">
        <v>471</v>
      </c>
      <c r="H29" s="72">
        <v>1</v>
      </c>
      <c r="I29" s="76" t="s">
        <v>14</v>
      </c>
      <c r="J29" s="52">
        <v>0.62</v>
      </c>
      <c r="K29" s="51">
        <v>0.62</v>
      </c>
      <c r="L29" s="82"/>
      <c r="M29" s="82"/>
      <c r="N29" s="82"/>
      <c r="O29" s="36" t="s">
        <v>182</v>
      </c>
    </row>
    <row r="30" spans="2:15" s="8" customFormat="1" ht="26.4" x14ac:dyDescent="0.25">
      <c r="B30" s="140" t="s">
        <v>1414</v>
      </c>
      <c r="C30" s="140" t="s">
        <v>426</v>
      </c>
      <c r="D30" s="34" t="s">
        <v>21</v>
      </c>
      <c r="E30" s="35" t="s">
        <v>455</v>
      </c>
      <c r="F30" s="35">
        <v>1</v>
      </c>
      <c r="G30" s="46" t="s">
        <v>456</v>
      </c>
      <c r="H30" s="72">
        <v>1</v>
      </c>
      <c r="I30" s="76" t="s">
        <v>396</v>
      </c>
      <c r="J30" s="52">
        <v>9.8000000000000007</v>
      </c>
      <c r="K30" s="51">
        <v>9.8000000000000007</v>
      </c>
      <c r="L30" s="82"/>
      <c r="M30" s="82"/>
      <c r="N30" s="82"/>
      <c r="O30" s="36" t="s">
        <v>182</v>
      </c>
    </row>
    <row r="31" spans="2:15" s="8" customFormat="1" ht="20.399999999999999" x14ac:dyDescent="0.25">
      <c r="B31" s="140" t="s">
        <v>1414</v>
      </c>
      <c r="C31" s="140" t="s">
        <v>426</v>
      </c>
      <c r="D31" s="34" t="s">
        <v>21</v>
      </c>
      <c r="E31" s="35" t="s">
        <v>455</v>
      </c>
      <c r="F31" s="35">
        <v>1</v>
      </c>
      <c r="G31" s="46" t="s">
        <v>472</v>
      </c>
      <c r="H31" s="72">
        <v>1</v>
      </c>
      <c r="I31" s="76" t="s">
        <v>396</v>
      </c>
      <c r="J31" s="96"/>
      <c r="K31" s="64"/>
      <c r="L31" s="82"/>
      <c r="M31" s="82"/>
      <c r="N31" s="82"/>
      <c r="O31" s="36" t="s">
        <v>182</v>
      </c>
    </row>
    <row r="32" spans="2:15" s="8" customFormat="1" ht="20.399999999999999" x14ac:dyDescent="0.25">
      <c r="B32" s="140" t="s">
        <v>1414</v>
      </c>
      <c r="C32" s="140" t="s">
        <v>426</v>
      </c>
      <c r="D32" s="34" t="s">
        <v>21</v>
      </c>
      <c r="E32" s="35" t="s">
        <v>455</v>
      </c>
      <c r="F32" s="35">
        <v>1</v>
      </c>
      <c r="G32" s="46" t="s">
        <v>473</v>
      </c>
      <c r="H32" s="72">
        <v>1</v>
      </c>
      <c r="I32" s="76" t="s">
        <v>396</v>
      </c>
      <c r="J32" s="96"/>
      <c r="K32" s="64"/>
      <c r="L32" s="82"/>
      <c r="M32" s="82"/>
      <c r="N32" s="82"/>
      <c r="O32" s="36" t="s">
        <v>182</v>
      </c>
    </row>
    <row r="33" spans="2:15" s="8" customFormat="1" ht="20.399999999999999" x14ac:dyDescent="0.25">
      <c r="B33" s="140" t="s">
        <v>1414</v>
      </c>
      <c r="C33" s="140" t="s">
        <v>426</v>
      </c>
      <c r="D33" s="34" t="s">
        <v>21</v>
      </c>
      <c r="E33" s="35" t="s">
        <v>455</v>
      </c>
      <c r="F33" s="35">
        <v>1</v>
      </c>
      <c r="G33" s="46" t="s">
        <v>464</v>
      </c>
      <c r="H33" s="72">
        <v>1</v>
      </c>
      <c r="I33" s="76"/>
      <c r="J33" s="96"/>
      <c r="K33" s="64"/>
      <c r="L33" s="82"/>
      <c r="M33" s="82"/>
      <c r="N33" s="82"/>
      <c r="O33" s="36" t="s">
        <v>182</v>
      </c>
    </row>
    <row r="34" spans="2:15" s="8" customFormat="1" ht="20.399999999999999" x14ac:dyDescent="0.25">
      <c r="B34" s="140" t="s">
        <v>1414</v>
      </c>
      <c r="C34" s="140" t="s">
        <v>426</v>
      </c>
      <c r="D34" s="34" t="s">
        <v>21</v>
      </c>
      <c r="E34" s="35" t="s">
        <v>455</v>
      </c>
      <c r="F34" s="35">
        <v>1</v>
      </c>
      <c r="G34" s="46" t="s">
        <v>1420</v>
      </c>
      <c r="H34" s="72">
        <v>1</v>
      </c>
      <c r="I34" s="76" t="s">
        <v>14</v>
      </c>
      <c r="J34" s="52">
        <v>373</v>
      </c>
      <c r="K34" s="51">
        <v>373</v>
      </c>
      <c r="L34" s="82"/>
      <c r="M34" s="82"/>
      <c r="N34" s="82"/>
      <c r="O34" s="36" t="s">
        <v>182</v>
      </c>
    </row>
    <row r="35" spans="2:15" s="8" customFormat="1" ht="26.4" x14ac:dyDescent="0.25">
      <c r="B35" s="140" t="s">
        <v>1414</v>
      </c>
      <c r="C35" s="140" t="s">
        <v>426</v>
      </c>
      <c r="D35" s="34" t="s">
        <v>21</v>
      </c>
      <c r="E35" s="35" t="s">
        <v>455</v>
      </c>
      <c r="F35" s="35">
        <v>1</v>
      </c>
      <c r="G35" s="46" t="s">
        <v>1421</v>
      </c>
      <c r="H35" s="72">
        <v>1</v>
      </c>
      <c r="I35" s="76" t="s">
        <v>14</v>
      </c>
      <c r="J35" s="52">
        <v>6.4</v>
      </c>
      <c r="K35" s="51">
        <v>6.4</v>
      </c>
      <c r="L35" s="82"/>
      <c r="M35" s="82"/>
      <c r="N35" s="82"/>
      <c r="O35" s="36" t="s">
        <v>182</v>
      </c>
    </row>
    <row r="36" spans="2:15" s="8" customFormat="1" ht="26.4" x14ac:dyDescent="0.25">
      <c r="B36" s="140" t="s">
        <v>1414</v>
      </c>
      <c r="C36" s="140" t="s">
        <v>426</v>
      </c>
      <c r="D36" s="34" t="s">
        <v>21</v>
      </c>
      <c r="E36" s="35" t="s">
        <v>455</v>
      </c>
      <c r="F36" s="35">
        <v>1</v>
      </c>
      <c r="G36" s="46" t="s">
        <v>1422</v>
      </c>
      <c r="H36" s="72">
        <v>1</v>
      </c>
      <c r="I36" s="76" t="s">
        <v>14</v>
      </c>
      <c r="J36" s="52">
        <v>0.9</v>
      </c>
      <c r="K36" s="51">
        <v>0.9</v>
      </c>
      <c r="L36" s="82"/>
      <c r="M36" s="82"/>
      <c r="N36" s="82"/>
      <c r="O36" s="36" t="s">
        <v>182</v>
      </c>
    </row>
    <row r="37" spans="2:15" s="8" customFormat="1" ht="26.4" x14ac:dyDescent="0.25">
      <c r="B37" s="140" t="s">
        <v>1414</v>
      </c>
      <c r="C37" s="140" t="s">
        <v>426</v>
      </c>
      <c r="D37" s="34" t="s">
        <v>21</v>
      </c>
      <c r="E37" s="35" t="s">
        <v>455</v>
      </c>
      <c r="F37" s="35">
        <v>1</v>
      </c>
      <c r="G37" s="46" t="s">
        <v>1423</v>
      </c>
      <c r="H37" s="72">
        <v>1</v>
      </c>
      <c r="I37" s="76" t="s">
        <v>14</v>
      </c>
      <c r="J37" s="52">
        <v>56.4</v>
      </c>
      <c r="K37" s="51">
        <v>56.4</v>
      </c>
      <c r="L37" s="82"/>
      <c r="M37" s="82"/>
      <c r="N37" s="82"/>
      <c r="O37" s="36" t="s">
        <v>182</v>
      </c>
    </row>
    <row r="38" spans="2:15" s="8" customFormat="1" ht="26.4" x14ac:dyDescent="0.25">
      <c r="B38" s="140"/>
      <c r="C38" s="140" t="s">
        <v>426</v>
      </c>
      <c r="D38" s="34" t="s">
        <v>21</v>
      </c>
      <c r="E38" s="35" t="s">
        <v>455</v>
      </c>
      <c r="F38" s="35">
        <v>1</v>
      </c>
      <c r="G38" s="46" t="s">
        <v>1424</v>
      </c>
      <c r="H38" s="72">
        <v>1</v>
      </c>
      <c r="I38" s="76" t="s">
        <v>14</v>
      </c>
      <c r="J38" s="52">
        <v>30.6</v>
      </c>
      <c r="K38" s="51">
        <v>30.6</v>
      </c>
      <c r="L38" s="82"/>
      <c r="M38" s="82"/>
      <c r="N38" s="82"/>
      <c r="O38" s="36" t="s">
        <v>182</v>
      </c>
    </row>
    <row r="39" spans="2:15" s="8" customFormat="1" ht="20.399999999999999" x14ac:dyDescent="0.25">
      <c r="B39" s="140" t="s">
        <v>1414</v>
      </c>
      <c r="C39" s="140" t="s">
        <v>426</v>
      </c>
      <c r="D39" s="34" t="s">
        <v>21</v>
      </c>
      <c r="E39" s="35" t="s">
        <v>455</v>
      </c>
      <c r="F39" s="35">
        <v>1</v>
      </c>
      <c r="G39" s="46" t="s">
        <v>1425</v>
      </c>
      <c r="H39" s="72">
        <v>1</v>
      </c>
      <c r="I39" s="76" t="s">
        <v>14</v>
      </c>
      <c r="J39" s="52">
        <v>45</v>
      </c>
      <c r="K39" s="51">
        <v>45</v>
      </c>
      <c r="L39" s="82"/>
      <c r="M39" s="82"/>
      <c r="N39" s="82"/>
      <c r="O39" s="36" t="s">
        <v>182</v>
      </c>
    </row>
    <row r="40" spans="2:15" s="8" customFormat="1" ht="20.399999999999999" x14ac:dyDescent="0.25">
      <c r="B40" s="140" t="s">
        <v>1414</v>
      </c>
      <c r="C40" s="140" t="s">
        <v>426</v>
      </c>
      <c r="D40" s="34" t="s">
        <v>21</v>
      </c>
      <c r="E40" s="35" t="s">
        <v>455</v>
      </c>
      <c r="F40" s="35">
        <v>1</v>
      </c>
      <c r="G40" s="46" t="s">
        <v>1426</v>
      </c>
      <c r="H40" s="72">
        <v>1</v>
      </c>
      <c r="I40" s="76" t="s">
        <v>14</v>
      </c>
      <c r="J40" s="52">
        <v>45.3</v>
      </c>
      <c r="K40" s="51">
        <v>45.3</v>
      </c>
      <c r="L40" s="82"/>
      <c r="M40" s="82"/>
      <c r="N40" s="82"/>
      <c r="O40" s="36" t="s">
        <v>182</v>
      </c>
    </row>
    <row r="41" spans="2:15" s="8" customFormat="1" ht="20.399999999999999" x14ac:dyDescent="0.25">
      <c r="B41" s="140" t="s">
        <v>1414</v>
      </c>
      <c r="C41" s="140" t="s">
        <v>426</v>
      </c>
      <c r="D41" s="34" t="s">
        <v>21</v>
      </c>
      <c r="E41" s="35" t="s">
        <v>455</v>
      </c>
      <c r="F41" s="35">
        <v>1</v>
      </c>
      <c r="G41" s="46" t="s">
        <v>1427</v>
      </c>
      <c r="H41" s="72">
        <v>1</v>
      </c>
      <c r="I41" s="76" t="s">
        <v>14</v>
      </c>
      <c r="J41" s="52">
        <v>57</v>
      </c>
      <c r="K41" s="51">
        <v>57</v>
      </c>
      <c r="L41" s="82"/>
      <c r="M41" s="82"/>
      <c r="N41" s="82"/>
      <c r="O41" s="36" t="s">
        <v>182</v>
      </c>
    </row>
    <row r="42" spans="2:15" s="8" customFormat="1" ht="20.399999999999999" x14ac:dyDescent="0.25">
      <c r="B42" s="140" t="s">
        <v>1414</v>
      </c>
      <c r="C42" s="140" t="s">
        <v>426</v>
      </c>
      <c r="D42" s="34" t="s">
        <v>21</v>
      </c>
      <c r="E42" s="35" t="s">
        <v>455</v>
      </c>
      <c r="F42" s="35">
        <v>1</v>
      </c>
      <c r="G42" s="46" t="s">
        <v>1428</v>
      </c>
      <c r="H42" s="72">
        <v>1</v>
      </c>
      <c r="I42" s="76" t="s">
        <v>14</v>
      </c>
      <c r="J42" s="52">
        <v>64.2</v>
      </c>
      <c r="K42" s="51">
        <v>64.2</v>
      </c>
      <c r="L42" s="82"/>
      <c r="M42" s="82"/>
      <c r="N42" s="82"/>
      <c r="O42" s="36" t="s">
        <v>182</v>
      </c>
    </row>
    <row r="43" spans="2:15" s="8" customFormat="1" ht="20.399999999999999" x14ac:dyDescent="0.25">
      <c r="B43" s="140" t="s">
        <v>1414</v>
      </c>
      <c r="C43" s="140" t="s">
        <v>426</v>
      </c>
      <c r="D43" s="34" t="s">
        <v>21</v>
      </c>
      <c r="E43" s="35" t="s">
        <v>455</v>
      </c>
      <c r="F43" s="35">
        <v>1</v>
      </c>
      <c r="G43" s="46" t="s">
        <v>1429</v>
      </c>
      <c r="H43" s="72">
        <v>1</v>
      </c>
      <c r="I43" s="76" t="s">
        <v>14</v>
      </c>
      <c r="J43" s="52">
        <v>19</v>
      </c>
      <c r="K43" s="51">
        <v>19</v>
      </c>
      <c r="L43" s="82"/>
      <c r="M43" s="82"/>
      <c r="N43" s="82"/>
      <c r="O43" s="36" t="s">
        <v>182</v>
      </c>
    </row>
    <row r="44" spans="2:15" s="8" customFormat="1" ht="20.399999999999999" x14ac:dyDescent="0.25">
      <c r="B44" s="140" t="s">
        <v>1414</v>
      </c>
      <c r="C44" s="140" t="s">
        <v>426</v>
      </c>
      <c r="D44" s="34" t="s">
        <v>21</v>
      </c>
      <c r="E44" s="35" t="s">
        <v>455</v>
      </c>
      <c r="F44" s="35">
        <v>1</v>
      </c>
      <c r="G44" s="46" t="s">
        <v>1430</v>
      </c>
      <c r="H44" s="72">
        <v>1</v>
      </c>
      <c r="I44" s="76" t="s">
        <v>14</v>
      </c>
      <c r="J44" s="52">
        <v>7.4</v>
      </c>
      <c r="K44" s="51">
        <v>7.4</v>
      </c>
      <c r="L44" s="82"/>
      <c r="M44" s="82"/>
      <c r="N44" s="82"/>
      <c r="O44" s="36" t="s">
        <v>182</v>
      </c>
    </row>
    <row r="45" spans="2:15" s="8" customFormat="1" ht="20.399999999999999" x14ac:dyDescent="0.25">
      <c r="B45" s="140" t="s">
        <v>1414</v>
      </c>
      <c r="C45" s="140" t="s">
        <v>426</v>
      </c>
      <c r="D45" s="34" t="s">
        <v>21</v>
      </c>
      <c r="E45" s="35" t="s">
        <v>455</v>
      </c>
      <c r="F45" s="35">
        <v>1</v>
      </c>
      <c r="G45" s="46" t="s">
        <v>1431</v>
      </c>
      <c r="H45" s="72">
        <v>1</v>
      </c>
      <c r="I45" s="76" t="s">
        <v>14</v>
      </c>
      <c r="J45" s="52">
        <v>29.3</v>
      </c>
      <c r="K45" s="51">
        <v>29.3</v>
      </c>
      <c r="L45" s="82"/>
      <c r="M45" s="82"/>
      <c r="N45" s="82"/>
      <c r="O45" s="36" t="s">
        <v>182</v>
      </c>
    </row>
    <row r="46" spans="2:15" s="8" customFormat="1" ht="20.399999999999999" x14ac:dyDescent="0.25">
      <c r="B46" s="140" t="s">
        <v>1414</v>
      </c>
      <c r="C46" s="140" t="s">
        <v>426</v>
      </c>
      <c r="D46" s="34" t="s">
        <v>21</v>
      </c>
      <c r="E46" s="35" t="s">
        <v>455</v>
      </c>
      <c r="F46" s="35">
        <v>1</v>
      </c>
      <c r="G46" s="46" t="s">
        <v>1432</v>
      </c>
      <c r="H46" s="72">
        <v>1</v>
      </c>
      <c r="I46" s="76" t="s">
        <v>14</v>
      </c>
      <c r="J46" s="52">
        <v>20.3</v>
      </c>
      <c r="K46" s="51">
        <v>20.3</v>
      </c>
      <c r="L46" s="82"/>
      <c r="M46" s="82"/>
      <c r="N46" s="82"/>
      <c r="O46" s="36" t="s">
        <v>182</v>
      </c>
    </row>
    <row r="47" spans="2:15" s="8" customFormat="1" ht="20.399999999999999" x14ac:dyDescent="0.25">
      <c r="B47" s="140" t="s">
        <v>1414</v>
      </c>
      <c r="C47" s="140" t="s">
        <v>426</v>
      </c>
      <c r="D47" s="34" t="s">
        <v>21</v>
      </c>
      <c r="E47" s="35" t="s">
        <v>455</v>
      </c>
      <c r="F47" s="35">
        <v>1</v>
      </c>
      <c r="G47" s="46" t="s">
        <v>1433</v>
      </c>
      <c r="H47" s="72">
        <v>1</v>
      </c>
      <c r="I47" s="76" t="s">
        <v>14</v>
      </c>
      <c r="J47" s="52">
        <v>62.8</v>
      </c>
      <c r="K47" s="51">
        <v>62.8</v>
      </c>
      <c r="L47" s="82"/>
      <c r="M47" s="82"/>
      <c r="N47" s="82"/>
      <c r="O47" s="36" t="s">
        <v>182</v>
      </c>
    </row>
    <row r="48" spans="2:15" s="8" customFormat="1" ht="20.399999999999999" x14ac:dyDescent="0.25">
      <c r="B48" s="140" t="s">
        <v>1414</v>
      </c>
      <c r="C48" s="140" t="s">
        <v>426</v>
      </c>
      <c r="D48" s="34" t="s">
        <v>21</v>
      </c>
      <c r="E48" s="35" t="s">
        <v>455</v>
      </c>
      <c r="F48" s="35">
        <v>1</v>
      </c>
      <c r="G48" s="46" t="s">
        <v>1434</v>
      </c>
      <c r="H48" s="72">
        <v>1</v>
      </c>
      <c r="I48" s="76" t="s">
        <v>14</v>
      </c>
      <c r="J48" s="52">
        <v>14.5</v>
      </c>
      <c r="K48" s="51">
        <v>14.5</v>
      </c>
      <c r="L48" s="82"/>
      <c r="M48" s="82"/>
      <c r="N48" s="82"/>
      <c r="O48" s="36" t="s">
        <v>182</v>
      </c>
    </row>
    <row r="49" spans="2:15" s="8" customFormat="1" ht="26.4" x14ac:dyDescent="0.25">
      <c r="B49" s="140" t="s">
        <v>1414</v>
      </c>
      <c r="C49" s="140" t="s">
        <v>426</v>
      </c>
      <c r="D49" s="34" t="s">
        <v>21</v>
      </c>
      <c r="E49" s="35" t="s">
        <v>455</v>
      </c>
      <c r="F49" s="35">
        <v>1</v>
      </c>
      <c r="G49" s="46" t="s">
        <v>1435</v>
      </c>
      <c r="H49" s="72">
        <v>1</v>
      </c>
      <c r="I49" s="76" t="s">
        <v>14</v>
      </c>
      <c r="J49" s="52">
        <v>0.36</v>
      </c>
      <c r="K49" s="51">
        <v>0.36</v>
      </c>
      <c r="L49" s="82"/>
      <c r="M49" s="82"/>
      <c r="N49" s="82"/>
      <c r="O49" s="36" t="s">
        <v>182</v>
      </c>
    </row>
    <row r="50" spans="2:15" s="8" customFormat="1" ht="20.399999999999999" x14ac:dyDescent="0.25">
      <c r="B50" s="140" t="s">
        <v>1414</v>
      </c>
      <c r="C50" s="140" t="s">
        <v>426</v>
      </c>
      <c r="D50" s="34" t="s">
        <v>21</v>
      </c>
      <c r="E50" s="35" t="s">
        <v>455</v>
      </c>
      <c r="F50" s="35">
        <v>1</v>
      </c>
      <c r="G50" s="46" t="s">
        <v>1436</v>
      </c>
      <c r="H50" s="72">
        <v>1</v>
      </c>
      <c r="I50" s="76" t="s">
        <v>14</v>
      </c>
      <c r="J50" s="52">
        <v>5.3</v>
      </c>
      <c r="K50" s="51">
        <v>5.3</v>
      </c>
      <c r="L50" s="82"/>
      <c r="M50" s="82"/>
      <c r="N50" s="82"/>
      <c r="O50" s="36" t="s">
        <v>182</v>
      </c>
    </row>
    <row r="51" spans="2:15" s="8" customFormat="1" ht="20.399999999999999" x14ac:dyDescent="0.25">
      <c r="B51" s="140" t="s">
        <v>1414</v>
      </c>
      <c r="C51" s="140" t="s">
        <v>426</v>
      </c>
      <c r="D51" s="34" t="s">
        <v>21</v>
      </c>
      <c r="E51" s="35" t="s">
        <v>455</v>
      </c>
      <c r="F51" s="35">
        <v>1</v>
      </c>
      <c r="G51" s="46" t="s">
        <v>1437</v>
      </c>
      <c r="H51" s="72">
        <v>2</v>
      </c>
      <c r="I51" s="76" t="s">
        <v>14</v>
      </c>
      <c r="J51" s="52">
        <v>38</v>
      </c>
      <c r="K51" s="51">
        <v>38</v>
      </c>
      <c r="L51" s="82"/>
      <c r="M51" s="82"/>
      <c r="N51" s="82"/>
      <c r="O51" s="36" t="s">
        <v>182</v>
      </c>
    </row>
    <row r="52" spans="2:15" s="8" customFormat="1" ht="20.399999999999999" x14ac:dyDescent="0.25">
      <c r="B52" s="140" t="s">
        <v>1414</v>
      </c>
      <c r="C52" s="140" t="s">
        <v>426</v>
      </c>
      <c r="D52" s="34" t="s">
        <v>21</v>
      </c>
      <c r="E52" s="35" t="s">
        <v>455</v>
      </c>
      <c r="F52" s="35">
        <v>1</v>
      </c>
      <c r="G52" s="46" t="s">
        <v>1438</v>
      </c>
      <c r="H52" s="72">
        <v>2</v>
      </c>
      <c r="I52" s="76" t="s">
        <v>14</v>
      </c>
      <c r="J52" s="52">
        <v>6.8</v>
      </c>
      <c r="K52" s="51">
        <v>6.8</v>
      </c>
      <c r="L52" s="82"/>
      <c r="M52" s="82"/>
      <c r="N52" s="82"/>
      <c r="O52" s="36" t="s">
        <v>182</v>
      </c>
    </row>
    <row r="53" spans="2:15" s="8" customFormat="1" ht="20.399999999999999" x14ac:dyDescent="0.25">
      <c r="B53" s="140" t="s">
        <v>1414</v>
      </c>
      <c r="C53" s="140" t="s">
        <v>426</v>
      </c>
      <c r="D53" s="34" t="s">
        <v>21</v>
      </c>
      <c r="E53" s="35" t="s">
        <v>455</v>
      </c>
      <c r="F53" s="35">
        <v>1</v>
      </c>
      <c r="G53" s="46" t="s">
        <v>1439</v>
      </c>
      <c r="H53" s="72">
        <v>2</v>
      </c>
      <c r="I53" s="76" t="s">
        <v>14</v>
      </c>
      <c r="J53" s="52">
        <v>9.6</v>
      </c>
      <c r="K53" s="51">
        <v>9.6</v>
      </c>
      <c r="L53" s="82"/>
      <c r="M53" s="82"/>
      <c r="N53" s="82"/>
      <c r="O53" s="36" t="s">
        <v>182</v>
      </c>
    </row>
    <row r="54" spans="2:15" s="8" customFormat="1" ht="20.399999999999999" x14ac:dyDescent="0.25">
      <c r="B54" s="140" t="s">
        <v>1414</v>
      </c>
      <c r="C54" s="140" t="s">
        <v>426</v>
      </c>
      <c r="D54" s="34" t="s">
        <v>21</v>
      </c>
      <c r="E54" s="35" t="s">
        <v>455</v>
      </c>
      <c r="F54" s="35">
        <v>1</v>
      </c>
      <c r="G54" s="46" t="s">
        <v>1439</v>
      </c>
      <c r="H54" s="72">
        <v>2</v>
      </c>
      <c r="I54" s="76" t="s">
        <v>14</v>
      </c>
      <c r="J54" s="52">
        <v>9.6</v>
      </c>
      <c r="K54" s="51">
        <v>9.6</v>
      </c>
      <c r="L54" s="82"/>
      <c r="M54" s="82"/>
      <c r="N54" s="82"/>
      <c r="O54" s="36" t="s">
        <v>182</v>
      </c>
    </row>
    <row r="55" spans="2:15" s="8" customFormat="1" ht="26.4" x14ac:dyDescent="0.25">
      <c r="B55" s="140" t="s">
        <v>1414</v>
      </c>
      <c r="C55" s="140" t="s">
        <v>426</v>
      </c>
      <c r="D55" s="34" t="s">
        <v>21</v>
      </c>
      <c r="E55" s="35" t="s">
        <v>455</v>
      </c>
      <c r="F55" s="35">
        <v>1</v>
      </c>
      <c r="G55" s="46" t="s">
        <v>1440</v>
      </c>
      <c r="H55" s="72">
        <v>4</v>
      </c>
      <c r="I55" s="76" t="s">
        <v>14</v>
      </c>
      <c r="J55" s="52">
        <v>10</v>
      </c>
      <c r="K55" s="51">
        <v>10</v>
      </c>
      <c r="L55" s="82"/>
      <c r="M55" s="82"/>
      <c r="N55" s="82"/>
      <c r="O55" s="36" t="s">
        <v>182</v>
      </c>
    </row>
    <row r="56" spans="2:15" s="8" customFormat="1" ht="20.399999999999999" x14ac:dyDescent="0.25">
      <c r="B56" s="140" t="s">
        <v>1414</v>
      </c>
      <c r="C56" s="140" t="s">
        <v>426</v>
      </c>
      <c r="D56" s="34" t="s">
        <v>21</v>
      </c>
      <c r="E56" s="35" t="s">
        <v>455</v>
      </c>
      <c r="F56" s="35">
        <v>1</v>
      </c>
      <c r="G56" s="46" t="s">
        <v>1441</v>
      </c>
      <c r="H56" s="72">
        <v>1</v>
      </c>
      <c r="I56" s="76" t="s">
        <v>396</v>
      </c>
      <c r="J56" s="52">
        <v>9.8000000000000007</v>
      </c>
      <c r="K56" s="51">
        <v>9.8000000000000007</v>
      </c>
      <c r="L56" s="82"/>
      <c r="M56" s="82"/>
      <c r="N56" s="82"/>
      <c r="O56" s="36" t="s">
        <v>182</v>
      </c>
    </row>
    <row r="57" spans="2:15" s="8" customFormat="1" ht="20.399999999999999" x14ac:dyDescent="0.25">
      <c r="B57" s="140" t="s">
        <v>1414</v>
      </c>
      <c r="C57" s="140" t="s">
        <v>426</v>
      </c>
      <c r="D57" s="34" t="s">
        <v>21</v>
      </c>
      <c r="E57" s="35" t="s">
        <v>455</v>
      </c>
      <c r="F57" s="35">
        <v>1</v>
      </c>
      <c r="G57" s="46" t="s">
        <v>1442</v>
      </c>
      <c r="H57" s="72">
        <v>1</v>
      </c>
      <c r="I57" s="76" t="s">
        <v>14</v>
      </c>
      <c r="J57" s="52">
        <v>20.2</v>
      </c>
      <c r="K57" s="51">
        <v>20.2</v>
      </c>
      <c r="L57" s="82"/>
      <c r="M57" s="82"/>
      <c r="N57" s="82"/>
      <c r="O57" s="36" t="s">
        <v>182</v>
      </c>
    </row>
    <row r="58" spans="2:15" s="8" customFormat="1" ht="20.399999999999999" x14ac:dyDescent="0.25">
      <c r="B58" s="140" t="s">
        <v>1414</v>
      </c>
      <c r="C58" s="140" t="s">
        <v>426</v>
      </c>
      <c r="D58" s="34" t="s">
        <v>21</v>
      </c>
      <c r="E58" s="35" t="s">
        <v>455</v>
      </c>
      <c r="F58" s="35">
        <v>1</v>
      </c>
      <c r="G58" s="46" t="s">
        <v>1443</v>
      </c>
      <c r="H58" s="72">
        <v>1</v>
      </c>
      <c r="I58" s="76" t="s">
        <v>14</v>
      </c>
      <c r="J58" s="52">
        <v>5.6</v>
      </c>
      <c r="K58" s="51">
        <v>5.6</v>
      </c>
      <c r="L58" s="82"/>
      <c r="M58" s="82"/>
      <c r="N58" s="82"/>
      <c r="O58" s="36" t="s">
        <v>182</v>
      </c>
    </row>
    <row r="59" spans="2:15" s="8" customFormat="1" ht="20.399999999999999" x14ac:dyDescent="0.25">
      <c r="B59" s="140" t="s">
        <v>1414</v>
      </c>
      <c r="C59" s="140" t="s">
        <v>426</v>
      </c>
      <c r="D59" s="34" t="s">
        <v>21</v>
      </c>
      <c r="E59" s="35" t="s">
        <v>455</v>
      </c>
      <c r="F59" s="148">
        <v>1</v>
      </c>
      <c r="G59" s="46" t="s">
        <v>552</v>
      </c>
      <c r="H59" s="72">
        <v>1</v>
      </c>
      <c r="I59" s="76" t="s">
        <v>14</v>
      </c>
      <c r="J59" s="52">
        <v>700</v>
      </c>
      <c r="K59" s="51">
        <v>700</v>
      </c>
      <c r="L59" s="82"/>
      <c r="M59" s="82"/>
      <c r="N59" s="82"/>
      <c r="O59" s="36" t="s">
        <v>182</v>
      </c>
    </row>
    <row r="60" spans="2:15" s="8" customFormat="1" ht="20.399999999999999" x14ac:dyDescent="0.25">
      <c r="B60" s="140" t="s">
        <v>1414</v>
      </c>
      <c r="C60" s="140" t="s">
        <v>426</v>
      </c>
      <c r="D60" s="34" t="s">
        <v>21</v>
      </c>
      <c r="E60" s="35" t="s">
        <v>455</v>
      </c>
      <c r="F60" s="148">
        <v>1</v>
      </c>
      <c r="G60" s="46" t="s">
        <v>553</v>
      </c>
      <c r="H60" s="72">
        <v>1</v>
      </c>
      <c r="I60" s="76" t="s">
        <v>14</v>
      </c>
      <c r="J60" s="52">
        <v>189</v>
      </c>
      <c r="K60" s="51">
        <v>189</v>
      </c>
      <c r="L60" s="82"/>
      <c r="M60" s="82"/>
      <c r="N60" s="82"/>
      <c r="O60" s="36" t="s">
        <v>182</v>
      </c>
    </row>
    <row r="61" spans="2:15" ht="26.4" x14ac:dyDescent="0.25">
      <c r="B61" s="140" t="s">
        <v>1414</v>
      </c>
      <c r="C61" s="195" t="s">
        <v>936</v>
      </c>
      <c r="D61" s="34" t="s">
        <v>21</v>
      </c>
      <c r="E61" s="141"/>
      <c r="F61" s="35">
        <v>1</v>
      </c>
      <c r="G61" s="46" t="s">
        <v>928</v>
      </c>
      <c r="H61" s="128">
        <v>1</v>
      </c>
      <c r="I61" s="129" t="s">
        <v>14</v>
      </c>
      <c r="J61" s="48">
        <v>10885</v>
      </c>
      <c r="K61" s="48">
        <v>10885</v>
      </c>
      <c r="L61" s="82">
        <v>5.18</v>
      </c>
      <c r="M61" s="82">
        <v>1.1399999999999999</v>
      </c>
      <c r="N61" s="82">
        <v>2.46</v>
      </c>
      <c r="O61" s="36" t="s">
        <v>935</v>
      </c>
    </row>
    <row r="62" spans="2:15" ht="26.4" x14ac:dyDescent="0.25">
      <c r="B62" s="140" t="s">
        <v>1414</v>
      </c>
      <c r="C62" s="195" t="s">
        <v>936</v>
      </c>
      <c r="D62" s="34" t="s">
        <v>21</v>
      </c>
      <c r="E62" s="141"/>
      <c r="F62" s="35">
        <v>1</v>
      </c>
      <c r="G62" s="46" t="s">
        <v>928</v>
      </c>
      <c r="H62" s="128">
        <v>1</v>
      </c>
      <c r="I62" s="129" t="s">
        <v>14</v>
      </c>
      <c r="J62" s="48">
        <v>10885</v>
      </c>
      <c r="K62" s="48">
        <v>10885</v>
      </c>
      <c r="L62" s="82">
        <v>5.18</v>
      </c>
      <c r="M62" s="82">
        <v>1.1399999999999999</v>
      </c>
      <c r="N62" s="82">
        <v>2.46</v>
      </c>
      <c r="O62" s="36" t="s">
        <v>935</v>
      </c>
    </row>
    <row r="63" spans="2:15" ht="26.4" x14ac:dyDescent="0.25">
      <c r="B63" s="140" t="s">
        <v>1414</v>
      </c>
      <c r="C63" s="195" t="s">
        <v>936</v>
      </c>
      <c r="D63" s="34" t="s">
        <v>21</v>
      </c>
      <c r="E63" s="141"/>
      <c r="F63" s="35">
        <v>1</v>
      </c>
      <c r="G63" s="46" t="s">
        <v>928</v>
      </c>
      <c r="H63" s="128">
        <v>1</v>
      </c>
      <c r="I63" s="129" t="s">
        <v>14</v>
      </c>
      <c r="J63" s="48">
        <v>10885</v>
      </c>
      <c r="K63" s="48">
        <v>10885</v>
      </c>
      <c r="L63" s="82">
        <v>5.18</v>
      </c>
      <c r="M63" s="82">
        <v>1.1399999999999999</v>
      </c>
      <c r="N63" s="82">
        <v>2.46</v>
      </c>
      <c r="O63" s="36" t="s">
        <v>935</v>
      </c>
    </row>
    <row r="64" spans="2:15" ht="52.8" x14ac:dyDescent="0.25">
      <c r="B64" s="140" t="s">
        <v>1414</v>
      </c>
      <c r="C64" s="195" t="s">
        <v>936</v>
      </c>
      <c r="D64" s="34" t="s">
        <v>929</v>
      </c>
      <c r="E64" s="141"/>
      <c r="F64" s="35">
        <v>1</v>
      </c>
      <c r="G64" s="46" t="s">
        <v>930</v>
      </c>
      <c r="H64" s="128">
        <v>10</v>
      </c>
      <c r="I64" s="129" t="s">
        <v>14</v>
      </c>
      <c r="J64" s="48">
        <v>175</v>
      </c>
      <c r="K64" s="48">
        <v>195</v>
      </c>
      <c r="L64" s="82">
        <v>1.2</v>
      </c>
      <c r="M64" s="82">
        <v>0.8</v>
      </c>
      <c r="N64" s="82">
        <v>0.8</v>
      </c>
      <c r="O64" s="36" t="s">
        <v>935</v>
      </c>
    </row>
    <row r="65" spans="2:15" ht="39.6" x14ac:dyDescent="0.25">
      <c r="B65" s="140" t="s">
        <v>1414</v>
      </c>
      <c r="C65" s="195" t="s">
        <v>936</v>
      </c>
      <c r="D65" s="34" t="s">
        <v>509</v>
      </c>
      <c r="E65" s="141"/>
      <c r="F65" s="35">
        <v>1</v>
      </c>
      <c r="G65" s="46" t="s">
        <v>931</v>
      </c>
      <c r="H65" s="75">
        <v>26</v>
      </c>
      <c r="I65" s="129" t="s">
        <v>14</v>
      </c>
      <c r="J65" s="48">
        <v>130</v>
      </c>
      <c r="K65" s="149">
        <v>150</v>
      </c>
      <c r="L65" s="82">
        <v>1.2</v>
      </c>
      <c r="M65" s="82">
        <v>0.8</v>
      </c>
      <c r="N65" s="82">
        <v>0.8</v>
      </c>
      <c r="O65" s="36" t="s">
        <v>935</v>
      </c>
    </row>
    <row r="66" spans="2:15" ht="118.8" x14ac:dyDescent="0.25">
      <c r="B66" s="140" t="s">
        <v>1414</v>
      </c>
      <c r="C66" s="195" t="s">
        <v>936</v>
      </c>
      <c r="D66" s="34" t="s">
        <v>509</v>
      </c>
      <c r="E66" s="141"/>
      <c r="F66" s="35">
        <v>1</v>
      </c>
      <c r="G66" s="46" t="s">
        <v>932</v>
      </c>
      <c r="H66" s="75">
        <v>11</v>
      </c>
      <c r="I66" s="129" t="s">
        <v>14</v>
      </c>
      <c r="J66" s="48">
        <v>305</v>
      </c>
      <c r="K66" s="149">
        <v>325</v>
      </c>
      <c r="L66" s="82">
        <v>1.2</v>
      </c>
      <c r="M66" s="82">
        <v>0.8</v>
      </c>
      <c r="N66" s="82">
        <v>0.8</v>
      </c>
      <c r="O66" s="36" t="s">
        <v>935</v>
      </c>
    </row>
    <row r="67" spans="2:15" ht="26.4" x14ac:dyDescent="0.25">
      <c r="B67" s="140" t="s">
        <v>1414</v>
      </c>
      <c r="C67" s="195" t="s">
        <v>936</v>
      </c>
      <c r="D67" s="34" t="s">
        <v>18</v>
      </c>
      <c r="E67" s="141"/>
      <c r="F67" s="35">
        <v>1</v>
      </c>
      <c r="G67" s="46" t="s">
        <v>933</v>
      </c>
      <c r="H67" s="128">
        <v>1</v>
      </c>
      <c r="I67" s="76" t="s">
        <v>14</v>
      </c>
      <c r="J67" s="52">
        <v>908</v>
      </c>
      <c r="K67" s="51">
        <v>928</v>
      </c>
      <c r="L67" s="82">
        <v>0.8</v>
      </c>
      <c r="M67" s="82">
        <v>0.8</v>
      </c>
      <c r="N67" s="82">
        <v>1.2</v>
      </c>
      <c r="O67" s="36" t="s">
        <v>935</v>
      </c>
    </row>
    <row r="68" spans="2:15" ht="26.4" x14ac:dyDescent="0.25">
      <c r="B68" s="140" t="s">
        <v>1414</v>
      </c>
      <c r="C68" s="195" t="s">
        <v>936</v>
      </c>
      <c r="D68" s="34" t="s">
        <v>18</v>
      </c>
      <c r="E68" s="141"/>
      <c r="F68" s="35">
        <v>1</v>
      </c>
      <c r="G68" s="46" t="s">
        <v>933</v>
      </c>
      <c r="H68" s="128">
        <v>1</v>
      </c>
      <c r="I68" s="76" t="s">
        <v>14</v>
      </c>
      <c r="J68" s="52">
        <v>908</v>
      </c>
      <c r="K68" s="51">
        <v>928</v>
      </c>
      <c r="L68" s="82">
        <v>0.8</v>
      </c>
      <c r="M68" s="82">
        <v>0.8</v>
      </c>
      <c r="N68" s="82">
        <v>1.2</v>
      </c>
      <c r="O68" s="36" t="s">
        <v>935</v>
      </c>
    </row>
    <row r="69" spans="2:15" ht="26.4" x14ac:dyDescent="0.25">
      <c r="B69" s="140" t="s">
        <v>1414</v>
      </c>
      <c r="C69" s="195" t="s">
        <v>936</v>
      </c>
      <c r="D69" s="34" t="s">
        <v>18</v>
      </c>
      <c r="E69" s="141"/>
      <c r="F69" s="35">
        <v>1</v>
      </c>
      <c r="G69" s="46" t="s">
        <v>933</v>
      </c>
      <c r="H69" s="128">
        <v>1</v>
      </c>
      <c r="I69" s="76" t="s">
        <v>14</v>
      </c>
      <c r="J69" s="52">
        <v>908</v>
      </c>
      <c r="K69" s="51">
        <v>928</v>
      </c>
      <c r="L69" s="82">
        <v>0.8</v>
      </c>
      <c r="M69" s="82">
        <v>0.8</v>
      </c>
      <c r="N69" s="82">
        <v>1.2</v>
      </c>
      <c r="O69" s="36" t="s">
        <v>935</v>
      </c>
    </row>
    <row r="70" spans="2:15" ht="20.399999999999999" x14ac:dyDescent="0.25">
      <c r="B70" s="140" t="s">
        <v>1414</v>
      </c>
      <c r="C70" s="195" t="s">
        <v>936</v>
      </c>
      <c r="D70" s="34" t="s">
        <v>18</v>
      </c>
      <c r="E70" s="141"/>
      <c r="F70" s="35">
        <v>1</v>
      </c>
      <c r="G70" s="46" t="s">
        <v>934</v>
      </c>
      <c r="H70" s="128">
        <v>3</v>
      </c>
      <c r="I70" s="129" t="s">
        <v>14</v>
      </c>
      <c r="J70" s="48">
        <v>155</v>
      </c>
      <c r="K70" s="149">
        <v>175</v>
      </c>
      <c r="L70" s="82">
        <v>2.2000000000000002</v>
      </c>
      <c r="M70" s="82">
        <v>0.96</v>
      </c>
      <c r="N70" s="82">
        <v>0.76</v>
      </c>
      <c r="O70" s="36" t="s">
        <v>935</v>
      </c>
    </row>
    <row r="71" spans="2:15" ht="26.4" x14ac:dyDescent="0.25">
      <c r="B71" s="140" t="s">
        <v>1444</v>
      </c>
      <c r="C71" s="195" t="s">
        <v>1210</v>
      </c>
      <c r="D71" s="34" t="s">
        <v>21</v>
      </c>
      <c r="E71" s="141"/>
      <c r="F71" s="35">
        <v>1</v>
      </c>
      <c r="G71" s="46" t="s">
        <v>1204</v>
      </c>
      <c r="H71" s="128">
        <v>1</v>
      </c>
      <c r="I71" s="129" t="s">
        <v>14</v>
      </c>
      <c r="J71" s="48">
        <v>11300</v>
      </c>
      <c r="K71" s="48">
        <v>11300</v>
      </c>
      <c r="L71" s="82">
        <v>5</v>
      </c>
      <c r="M71" s="82">
        <v>1.1399999999999999</v>
      </c>
      <c r="N71" s="82">
        <v>1.75</v>
      </c>
      <c r="O71" s="36"/>
    </row>
    <row r="72" spans="2:15" ht="26.4" x14ac:dyDescent="0.25">
      <c r="B72" s="140" t="s">
        <v>1444</v>
      </c>
      <c r="C72" s="195" t="s">
        <v>1210</v>
      </c>
      <c r="D72" s="34" t="s">
        <v>21</v>
      </c>
      <c r="E72" s="35"/>
      <c r="F72" s="35">
        <v>1</v>
      </c>
      <c r="G72" s="46" t="s">
        <v>1205</v>
      </c>
      <c r="H72" s="128">
        <v>1</v>
      </c>
      <c r="I72" s="129" t="s">
        <v>14</v>
      </c>
      <c r="J72" s="48">
        <v>515</v>
      </c>
      <c r="K72" s="48">
        <v>515</v>
      </c>
      <c r="L72" s="82">
        <v>4.3</v>
      </c>
      <c r="M72" s="82">
        <v>0.8</v>
      </c>
      <c r="N72" s="82">
        <v>1</v>
      </c>
      <c r="O72" s="36"/>
    </row>
    <row r="73" spans="2:15" ht="26.4" x14ac:dyDescent="0.25">
      <c r="B73" s="140" t="s">
        <v>1444</v>
      </c>
      <c r="C73" s="195" t="s">
        <v>1210</v>
      </c>
      <c r="D73" s="34" t="s">
        <v>21</v>
      </c>
      <c r="E73" s="141"/>
      <c r="F73" s="35">
        <v>1</v>
      </c>
      <c r="G73" s="46" t="s">
        <v>1206</v>
      </c>
      <c r="H73" s="128">
        <v>1</v>
      </c>
      <c r="I73" s="76" t="s">
        <v>14</v>
      </c>
      <c r="J73" s="52">
        <v>755</v>
      </c>
      <c r="K73" s="51">
        <v>755</v>
      </c>
      <c r="L73" s="82">
        <v>1.1000000000000001</v>
      </c>
      <c r="M73" s="82">
        <v>1</v>
      </c>
      <c r="N73" s="82">
        <v>1</v>
      </c>
      <c r="O73" s="36"/>
    </row>
    <row r="74" spans="2:15" ht="20.399999999999999" x14ac:dyDescent="0.25">
      <c r="B74" s="140" t="s">
        <v>1444</v>
      </c>
      <c r="C74" s="195" t="s">
        <v>1210</v>
      </c>
      <c r="D74" s="34" t="s">
        <v>21</v>
      </c>
      <c r="E74" s="141"/>
      <c r="F74" s="35">
        <v>1</v>
      </c>
      <c r="G74" s="46" t="s">
        <v>1207</v>
      </c>
      <c r="H74" s="128">
        <v>1</v>
      </c>
      <c r="I74" s="129" t="s">
        <v>14</v>
      </c>
      <c r="J74" s="48">
        <v>55</v>
      </c>
      <c r="K74" s="149">
        <v>55</v>
      </c>
      <c r="L74" s="82">
        <v>2.2000000000000002</v>
      </c>
      <c r="M74" s="82">
        <v>0.96</v>
      </c>
      <c r="N74" s="82">
        <v>0.3</v>
      </c>
      <c r="O74" s="36"/>
    </row>
    <row r="75" spans="2:15" ht="163.19999999999999" x14ac:dyDescent="0.25">
      <c r="B75" s="140" t="s">
        <v>1444</v>
      </c>
      <c r="C75" s="195" t="s">
        <v>1210</v>
      </c>
      <c r="D75" s="34" t="s">
        <v>20</v>
      </c>
      <c r="E75" s="141"/>
      <c r="F75" s="35">
        <v>1</v>
      </c>
      <c r="G75" s="164" t="s">
        <v>1208</v>
      </c>
      <c r="H75" s="128">
        <v>32</v>
      </c>
      <c r="I75" s="129" t="s">
        <v>14</v>
      </c>
      <c r="J75" s="48">
        <v>265</v>
      </c>
      <c r="K75" s="48">
        <v>365</v>
      </c>
      <c r="L75" s="82">
        <v>1.24</v>
      </c>
      <c r="M75" s="82">
        <v>1.08</v>
      </c>
      <c r="N75" s="82">
        <v>1.23</v>
      </c>
      <c r="O75" s="36"/>
    </row>
    <row r="76" spans="2:15" ht="40.799999999999997" x14ac:dyDescent="0.25">
      <c r="B76" s="140" t="s">
        <v>1444</v>
      </c>
      <c r="C76" s="195" t="s">
        <v>1210</v>
      </c>
      <c r="D76" s="34" t="s">
        <v>21</v>
      </c>
      <c r="E76" s="141"/>
      <c r="F76" s="35">
        <v>1</v>
      </c>
      <c r="G76" s="164" t="s">
        <v>1209</v>
      </c>
      <c r="H76" s="128">
        <v>6</v>
      </c>
      <c r="I76" s="129" t="s">
        <v>14</v>
      </c>
      <c r="J76" s="48">
        <v>230</v>
      </c>
      <c r="K76" s="48">
        <v>230</v>
      </c>
      <c r="L76" s="82">
        <v>1</v>
      </c>
      <c r="M76" s="82">
        <v>1</v>
      </c>
      <c r="N76" s="82">
        <v>1</v>
      </c>
      <c r="O76" s="36"/>
    </row>
    <row r="77" spans="2:15" ht="26.4" x14ac:dyDescent="0.25">
      <c r="B77" s="140" t="s">
        <v>1444</v>
      </c>
      <c r="C77" s="195" t="s">
        <v>1265</v>
      </c>
      <c r="D77" s="34" t="s">
        <v>21</v>
      </c>
      <c r="E77" s="35" t="s">
        <v>990</v>
      </c>
      <c r="F77" s="35">
        <v>1</v>
      </c>
      <c r="G77" s="46" t="s">
        <v>1030</v>
      </c>
      <c r="H77" s="203">
        <v>1</v>
      </c>
      <c r="I77" s="205" t="s">
        <v>14</v>
      </c>
      <c r="J77" s="48">
        <v>10850</v>
      </c>
      <c r="K77" s="48">
        <v>10850</v>
      </c>
      <c r="L77" s="82">
        <v>5</v>
      </c>
      <c r="M77" s="82">
        <v>1.1399999999999999</v>
      </c>
      <c r="N77" s="82">
        <v>2.46</v>
      </c>
      <c r="O77" s="36"/>
    </row>
    <row r="78" spans="2:15" ht="26.4" x14ac:dyDescent="0.25">
      <c r="B78" s="140" t="s">
        <v>1444</v>
      </c>
      <c r="C78" s="195" t="s">
        <v>1265</v>
      </c>
      <c r="D78" s="34" t="s">
        <v>21</v>
      </c>
      <c r="E78" s="35" t="s">
        <v>990</v>
      </c>
      <c r="F78" s="35">
        <v>1</v>
      </c>
      <c r="G78" s="46" t="s">
        <v>1031</v>
      </c>
      <c r="H78" s="203">
        <v>1</v>
      </c>
      <c r="I78" s="205" t="s">
        <v>14</v>
      </c>
      <c r="J78" s="52">
        <v>935</v>
      </c>
      <c r="K78" s="51">
        <v>935</v>
      </c>
      <c r="L78" s="82">
        <v>1.2</v>
      </c>
      <c r="M78" s="82">
        <v>1.05</v>
      </c>
      <c r="N78" s="82">
        <v>1</v>
      </c>
      <c r="O78" s="36"/>
    </row>
    <row r="79" spans="2:15" ht="20.399999999999999" x14ac:dyDescent="0.25">
      <c r="B79" s="140" t="s">
        <v>1444</v>
      </c>
      <c r="C79" s="195" t="s">
        <v>1265</v>
      </c>
      <c r="D79" s="34" t="s">
        <v>18</v>
      </c>
      <c r="E79" s="35" t="s">
        <v>990</v>
      </c>
      <c r="F79" s="35">
        <v>1</v>
      </c>
      <c r="G79" s="46" t="s">
        <v>1032</v>
      </c>
      <c r="H79" s="203">
        <v>1</v>
      </c>
      <c r="I79" s="205" t="s">
        <v>14</v>
      </c>
      <c r="J79" s="48">
        <v>55</v>
      </c>
      <c r="K79" s="149">
        <v>70</v>
      </c>
      <c r="L79" s="82">
        <v>2.0499999999999998</v>
      </c>
      <c r="M79" s="82">
        <v>1</v>
      </c>
      <c r="N79" s="82">
        <v>0.35</v>
      </c>
      <c r="O79" s="36"/>
    </row>
    <row r="80" spans="2:15" ht="173.4" x14ac:dyDescent="0.25">
      <c r="B80" s="140" t="s">
        <v>1444</v>
      </c>
      <c r="C80" s="195" t="s">
        <v>1265</v>
      </c>
      <c r="D80" s="34" t="s">
        <v>20</v>
      </c>
      <c r="E80" s="35" t="s">
        <v>990</v>
      </c>
      <c r="F80" s="35">
        <v>1</v>
      </c>
      <c r="G80" s="164" t="s">
        <v>1264</v>
      </c>
      <c r="H80" s="203">
        <v>31</v>
      </c>
      <c r="I80" s="205" t="s">
        <v>14</v>
      </c>
      <c r="J80" s="48">
        <v>375</v>
      </c>
      <c r="K80" s="48">
        <v>475</v>
      </c>
      <c r="L80" s="82">
        <v>1.3</v>
      </c>
      <c r="M80" s="82">
        <v>1.1000000000000001</v>
      </c>
      <c r="N80" s="82">
        <v>1.25</v>
      </c>
      <c r="O80" s="36"/>
    </row>
    <row r="81" spans="2:15" ht="26.4" x14ac:dyDescent="0.25">
      <c r="B81" s="140" t="s">
        <v>1444</v>
      </c>
      <c r="C81" s="195" t="s">
        <v>1174</v>
      </c>
      <c r="D81" s="34" t="s">
        <v>21</v>
      </c>
      <c r="E81" s="53" t="s">
        <v>990</v>
      </c>
      <c r="F81" s="35">
        <v>1</v>
      </c>
      <c r="G81" s="46" t="s">
        <v>1182</v>
      </c>
      <c r="H81" s="184">
        <v>1</v>
      </c>
      <c r="I81" s="182" t="s">
        <v>14</v>
      </c>
      <c r="J81" s="48">
        <v>10950</v>
      </c>
      <c r="K81" s="51">
        <v>10950</v>
      </c>
      <c r="L81" s="82">
        <v>5</v>
      </c>
      <c r="M81" s="82">
        <v>1.1399999999999999</v>
      </c>
      <c r="N81" s="82">
        <v>2.46</v>
      </c>
      <c r="O81" s="200"/>
    </row>
    <row r="82" spans="2:15" ht="26.4" x14ac:dyDescent="0.25">
      <c r="B82" s="140" t="s">
        <v>1444</v>
      </c>
      <c r="C82" s="195" t="s">
        <v>1174</v>
      </c>
      <c r="D82" s="45" t="s">
        <v>21</v>
      </c>
      <c r="E82" s="53" t="s">
        <v>990</v>
      </c>
      <c r="F82" s="53">
        <v>1</v>
      </c>
      <c r="G82" s="46" t="s">
        <v>1183</v>
      </c>
      <c r="H82" s="191">
        <v>1</v>
      </c>
      <c r="I82" s="196" t="s">
        <v>14</v>
      </c>
      <c r="J82" s="48">
        <v>940</v>
      </c>
      <c r="K82" s="51">
        <v>940</v>
      </c>
      <c r="L82" s="197">
        <v>1.2</v>
      </c>
      <c r="M82" s="197">
        <v>0.9</v>
      </c>
      <c r="N82" s="197">
        <v>1</v>
      </c>
      <c r="O82" s="200"/>
    </row>
    <row r="83" spans="2:15" ht="20.399999999999999" x14ac:dyDescent="0.25">
      <c r="B83" s="140" t="s">
        <v>1444</v>
      </c>
      <c r="C83" s="195" t="s">
        <v>1174</v>
      </c>
      <c r="D83" s="34" t="s">
        <v>21</v>
      </c>
      <c r="E83" s="35" t="s">
        <v>990</v>
      </c>
      <c r="F83" s="35">
        <v>1</v>
      </c>
      <c r="G83" s="46" t="s">
        <v>1184</v>
      </c>
      <c r="H83" s="184">
        <v>1</v>
      </c>
      <c r="I83" s="198" t="s">
        <v>14</v>
      </c>
      <c r="J83" s="48">
        <v>40</v>
      </c>
      <c r="K83" s="51">
        <v>40</v>
      </c>
      <c r="L83" s="82">
        <v>2.0499999999999998</v>
      </c>
      <c r="M83" s="82">
        <v>1</v>
      </c>
      <c r="N83" s="82">
        <v>0.35</v>
      </c>
      <c r="O83" s="200"/>
    </row>
    <row r="84" spans="2:15" ht="132.6" x14ac:dyDescent="0.25">
      <c r="B84" s="140" t="s">
        <v>1444</v>
      </c>
      <c r="C84" s="195" t="s">
        <v>1174</v>
      </c>
      <c r="D84" s="34" t="s">
        <v>20</v>
      </c>
      <c r="E84" s="35" t="s">
        <v>990</v>
      </c>
      <c r="F84" s="35">
        <v>1</v>
      </c>
      <c r="G84" s="164" t="s">
        <v>1185</v>
      </c>
      <c r="H84" s="191">
        <v>25</v>
      </c>
      <c r="I84" s="199" t="s">
        <v>14</v>
      </c>
      <c r="J84" s="48">
        <v>215</v>
      </c>
      <c r="K84" s="48">
        <v>265</v>
      </c>
      <c r="L84" s="82">
        <v>1.2</v>
      </c>
      <c r="M84" s="82">
        <v>0.8</v>
      </c>
      <c r="N84" s="82">
        <v>0.75</v>
      </c>
      <c r="O84" s="200"/>
    </row>
    <row r="85" spans="2:15" ht="40.799999999999997" x14ac:dyDescent="0.25">
      <c r="B85" s="140" t="s">
        <v>1444</v>
      </c>
      <c r="C85" s="195" t="s">
        <v>1174</v>
      </c>
      <c r="D85" s="34" t="s">
        <v>20</v>
      </c>
      <c r="E85" s="35" t="s">
        <v>990</v>
      </c>
      <c r="F85" s="35">
        <v>1</v>
      </c>
      <c r="G85" s="164" t="s">
        <v>1186</v>
      </c>
      <c r="H85" s="184">
        <v>6</v>
      </c>
      <c r="I85" s="198" t="s">
        <v>14</v>
      </c>
      <c r="J85" s="48">
        <v>230</v>
      </c>
      <c r="K85" s="51">
        <v>230</v>
      </c>
      <c r="L85" s="82">
        <v>1</v>
      </c>
      <c r="M85" s="82">
        <v>1</v>
      </c>
      <c r="N85" s="82">
        <v>1</v>
      </c>
      <c r="O85" s="200"/>
    </row>
  </sheetData>
  <mergeCells count="1">
    <mergeCell ref="H1:I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5E226-AD2F-49A9-BA8C-A951477859CC}">
  <dimension ref="A1:P62"/>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1741</v>
      </c>
      <c r="M1" s="81" t="s">
        <v>1739</v>
      </c>
      <c r="N1" s="39" t="s">
        <v>124</v>
      </c>
      <c r="O1" s="7"/>
      <c r="P1" s="7"/>
    </row>
    <row r="2" spans="1:16" s="8" customFormat="1" ht="13.8" x14ac:dyDescent="0.25">
      <c r="A2" s="140" t="s">
        <v>1376</v>
      </c>
      <c r="B2" s="140"/>
      <c r="C2" s="34" t="s">
        <v>21</v>
      </c>
      <c r="D2" s="35"/>
      <c r="E2" s="35">
        <v>1</v>
      </c>
      <c r="F2" s="46" t="s">
        <v>1377</v>
      </c>
      <c r="G2" s="72">
        <v>1</v>
      </c>
      <c r="H2" s="76" t="s">
        <v>14</v>
      </c>
      <c r="I2" s="52">
        <v>9300</v>
      </c>
      <c r="J2" s="51">
        <v>9300</v>
      </c>
      <c r="K2" s="82">
        <v>4</v>
      </c>
      <c r="L2" s="82">
        <v>0.9</v>
      </c>
      <c r="M2" s="82">
        <v>2.5</v>
      </c>
      <c r="N2" s="36" t="s">
        <v>1</v>
      </c>
    </row>
    <row r="3" spans="1:16" s="8" customFormat="1" ht="13.8" x14ac:dyDescent="0.25">
      <c r="A3" s="140" t="s">
        <v>1376</v>
      </c>
      <c r="B3" s="140" t="s">
        <v>106</v>
      </c>
      <c r="C3" s="34" t="s">
        <v>18</v>
      </c>
      <c r="D3" s="35"/>
      <c r="E3" s="35">
        <v>1</v>
      </c>
      <c r="F3" s="46" t="s">
        <v>1378</v>
      </c>
      <c r="G3" s="72">
        <v>1</v>
      </c>
      <c r="H3" s="76" t="s">
        <v>14</v>
      </c>
      <c r="I3" s="52">
        <v>250</v>
      </c>
      <c r="J3" s="51">
        <v>270</v>
      </c>
      <c r="K3" s="82">
        <v>1.3</v>
      </c>
      <c r="L3" s="82">
        <v>0.8</v>
      </c>
      <c r="M3" s="82">
        <v>1.1000000000000001</v>
      </c>
      <c r="N3" s="36" t="s">
        <v>2</v>
      </c>
    </row>
    <row r="4" spans="1:16" s="8" customFormat="1" ht="20.399999999999999" x14ac:dyDescent="0.25">
      <c r="A4" s="140" t="s">
        <v>1379</v>
      </c>
      <c r="B4" s="140"/>
      <c r="C4" s="34" t="s">
        <v>21</v>
      </c>
      <c r="D4" s="35"/>
      <c r="E4" s="35">
        <v>1</v>
      </c>
      <c r="F4" s="46" t="s">
        <v>1380</v>
      </c>
      <c r="G4" s="72">
        <v>1</v>
      </c>
      <c r="H4" s="76" t="s">
        <v>14</v>
      </c>
      <c r="I4" s="52">
        <v>50</v>
      </c>
      <c r="J4" s="51">
        <v>50</v>
      </c>
      <c r="K4" s="82"/>
      <c r="L4" s="82"/>
      <c r="M4" s="82"/>
      <c r="N4" s="36" t="s">
        <v>182</v>
      </c>
    </row>
    <row r="5" spans="1:16" s="8" customFormat="1" ht="20.399999999999999" x14ac:dyDescent="0.25">
      <c r="A5" s="140" t="s">
        <v>1379</v>
      </c>
      <c r="B5" s="140"/>
      <c r="C5" s="34" t="s">
        <v>21</v>
      </c>
      <c r="D5" s="35"/>
      <c r="E5" s="35">
        <v>1</v>
      </c>
      <c r="F5" s="46" t="s">
        <v>1381</v>
      </c>
      <c r="G5" s="72">
        <v>1</v>
      </c>
      <c r="H5" s="76" t="s">
        <v>14</v>
      </c>
      <c r="I5" s="52">
        <v>32</v>
      </c>
      <c r="J5" s="51">
        <v>32</v>
      </c>
      <c r="K5" s="82"/>
      <c r="L5" s="82"/>
      <c r="M5" s="82"/>
      <c r="N5" s="36" t="s">
        <v>182</v>
      </c>
    </row>
    <row r="6" spans="1:16" s="8" customFormat="1" ht="20.399999999999999" x14ac:dyDescent="0.25">
      <c r="A6" s="140" t="s">
        <v>1382</v>
      </c>
      <c r="B6" s="140"/>
      <c r="C6" s="34"/>
      <c r="D6" s="35"/>
      <c r="E6" s="35">
        <v>1</v>
      </c>
      <c r="F6" s="46" t="s">
        <v>1383</v>
      </c>
      <c r="G6" s="72">
        <v>1</v>
      </c>
      <c r="H6" s="76" t="s">
        <v>14</v>
      </c>
      <c r="I6" s="52">
        <v>36</v>
      </c>
      <c r="J6" s="51">
        <v>36</v>
      </c>
      <c r="K6" s="82"/>
      <c r="L6" s="82"/>
      <c r="M6" s="82"/>
      <c r="N6" s="36" t="s">
        <v>182</v>
      </c>
    </row>
    <row r="7" spans="1:16" s="8" customFormat="1" ht="20.399999999999999" x14ac:dyDescent="0.25">
      <c r="A7" s="140" t="s">
        <v>1382</v>
      </c>
      <c r="B7" s="140"/>
      <c r="C7" s="34"/>
      <c r="D7" s="35"/>
      <c r="E7" s="35">
        <v>1</v>
      </c>
      <c r="F7" s="46" t="s">
        <v>1384</v>
      </c>
      <c r="G7" s="72">
        <v>1</v>
      </c>
      <c r="H7" s="76" t="s">
        <v>14</v>
      </c>
      <c r="I7" s="52">
        <v>32</v>
      </c>
      <c r="J7" s="51">
        <v>32</v>
      </c>
      <c r="K7" s="82"/>
      <c r="L7" s="82"/>
      <c r="M7" s="82"/>
      <c r="N7" s="36" t="s">
        <v>182</v>
      </c>
    </row>
    <row r="8" spans="1:16" s="8" customFormat="1" ht="20.399999999999999" x14ac:dyDescent="0.25">
      <c r="A8" s="140" t="s">
        <v>1382</v>
      </c>
      <c r="B8" s="140"/>
      <c r="C8" s="34"/>
      <c r="D8" s="35"/>
      <c r="E8" s="35">
        <v>1</v>
      </c>
      <c r="F8" s="46" t="s">
        <v>1385</v>
      </c>
      <c r="G8" s="72">
        <v>1</v>
      </c>
      <c r="H8" s="76" t="s">
        <v>14</v>
      </c>
      <c r="I8" s="52">
        <v>34</v>
      </c>
      <c r="J8" s="51">
        <v>34</v>
      </c>
      <c r="K8" s="82"/>
      <c r="L8" s="82"/>
      <c r="M8" s="82"/>
      <c r="N8" s="36" t="s">
        <v>182</v>
      </c>
    </row>
    <row r="9" spans="1:16" s="8" customFormat="1" ht="20.399999999999999" x14ac:dyDescent="0.25">
      <c r="A9" s="140" t="s">
        <v>1382</v>
      </c>
      <c r="B9" s="140"/>
      <c r="C9" s="34"/>
      <c r="D9" s="35"/>
      <c r="E9" s="35">
        <v>1</v>
      </c>
      <c r="F9" s="46" t="s">
        <v>1386</v>
      </c>
      <c r="G9" s="72">
        <v>1</v>
      </c>
      <c r="H9" s="76" t="s">
        <v>14</v>
      </c>
      <c r="I9" s="52">
        <v>7</v>
      </c>
      <c r="J9" s="51">
        <v>7</v>
      </c>
      <c r="K9" s="82"/>
      <c r="L9" s="82"/>
      <c r="M9" s="82"/>
      <c r="N9" s="36" t="s">
        <v>182</v>
      </c>
    </row>
    <row r="10" spans="1:16" s="8" customFormat="1" ht="20.399999999999999" x14ac:dyDescent="0.25">
      <c r="A10" s="140" t="s">
        <v>1382</v>
      </c>
      <c r="B10" s="140"/>
      <c r="C10" s="34"/>
      <c r="D10" s="35"/>
      <c r="E10" s="35">
        <v>1</v>
      </c>
      <c r="F10" s="46" t="s">
        <v>1387</v>
      </c>
      <c r="G10" s="72">
        <v>1</v>
      </c>
      <c r="H10" s="76" t="s">
        <v>14</v>
      </c>
      <c r="I10" s="52">
        <v>8</v>
      </c>
      <c r="J10" s="51">
        <v>8</v>
      </c>
      <c r="K10" s="82"/>
      <c r="L10" s="82"/>
      <c r="M10" s="82"/>
      <c r="N10" s="36" t="s">
        <v>182</v>
      </c>
    </row>
    <row r="11" spans="1:16" s="8" customFormat="1" ht="20.399999999999999" x14ac:dyDescent="0.25">
      <c r="A11" s="140" t="s">
        <v>1382</v>
      </c>
      <c r="B11" s="140"/>
      <c r="C11" s="34"/>
      <c r="D11" s="35"/>
      <c r="E11" s="35">
        <v>1</v>
      </c>
      <c r="F11" s="46" t="s">
        <v>1388</v>
      </c>
      <c r="G11" s="72">
        <v>1</v>
      </c>
      <c r="H11" s="76" t="s">
        <v>14</v>
      </c>
      <c r="I11" s="52">
        <v>15</v>
      </c>
      <c r="J11" s="51">
        <v>15</v>
      </c>
      <c r="K11" s="82"/>
      <c r="L11" s="82"/>
      <c r="M11" s="82"/>
      <c r="N11" s="36" t="s">
        <v>182</v>
      </c>
    </row>
    <row r="12" spans="1:16" s="8" customFormat="1" ht="20.399999999999999" x14ac:dyDescent="0.25">
      <c r="A12" s="140" t="s">
        <v>1382</v>
      </c>
      <c r="B12" s="140"/>
      <c r="C12" s="34"/>
      <c r="D12" s="35"/>
      <c r="E12" s="35">
        <v>1</v>
      </c>
      <c r="F12" s="46" t="s">
        <v>1389</v>
      </c>
      <c r="G12" s="72">
        <v>1</v>
      </c>
      <c r="H12" s="76" t="s">
        <v>14</v>
      </c>
      <c r="I12" s="52">
        <v>32</v>
      </c>
      <c r="J12" s="51">
        <v>32</v>
      </c>
      <c r="K12" s="82"/>
      <c r="L12" s="82"/>
      <c r="M12" s="82"/>
      <c r="N12" s="36" t="s">
        <v>182</v>
      </c>
    </row>
    <row r="13" spans="1:16" s="8" customFormat="1" ht="20.399999999999999" x14ac:dyDescent="0.25">
      <c r="A13" s="140" t="s">
        <v>1382</v>
      </c>
      <c r="B13" s="140"/>
      <c r="C13" s="34"/>
      <c r="D13" s="35"/>
      <c r="E13" s="35">
        <v>1</v>
      </c>
      <c r="F13" s="46" t="s">
        <v>1390</v>
      </c>
      <c r="G13" s="72">
        <v>1</v>
      </c>
      <c r="H13" s="76" t="s">
        <v>14</v>
      </c>
      <c r="I13" s="52">
        <v>19</v>
      </c>
      <c r="J13" s="51">
        <v>19</v>
      </c>
      <c r="K13" s="82"/>
      <c r="L13" s="82"/>
      <c r="M13" s="82"/>
      <c r="N13" s="36" t="s">
        <v>182</v>
      </c>
    </row>
    <row r="14" spans="1:16" s="8" customFormat="1" ht="20.399999999999999" x14ac:dyDescent="0.25">
      <c r="A14" s="140" t="s">
        <v>1382</v>
      </c>
      <c r="B14" s="140"/>
      <c r="C14" s="34"/>
      <c r="D14" s="35"/>
      <c r="E14" s="35">
        <v>1</v>
      </c>
      <c r="F14" s="46" t="s">
        <v>1391</v>
      </c>
      <c r="G14" s="72">
        <v>1</v>
      </c>
      <c r="H14" s="76" t="s">
        <v>14</v>
      </c>
      <c r="I14" s="52">
        <v>22</v>
      </c>
      <c r="J14" s="51">
        <v>22</v>
      </c>
      <c r="K14" s="82"/>
      <c r="L14" s="82"/>
      <c r="M14" s="82"/>
      <c r="N14" s="36" t="s">
        <v>182</v>
      </c>
    </row>
    <row r="15" spans="1:16" s="8" customFormat="1" ht="20.399999999999999" x14ac:dyDescent="0.25">
      <c r="A15" s="140" t="s">
        <v>1382</v>
      </c>
      <c r="B15" s="140"/>
      <c r="C15" s="34"/>
      <c r="D15" s="35"/>
      <c r="E15" s="35">
        <v>1</v>
      </c>
      <c r="F15" s="46" t="s">
        <v>1392</v>
      </c>
      <c r="G15" s="72">
        <v>1</v>
      </c>
      <c r="H15" s="76" t="s">
        <v>14</v>
      </c>
      <c r="I15" s="52">
        <v>28</v>
      </c>
      <c r="J15" s="51">
        <v>28</v>
      </c>
      <c r="K15" s="82"/>
      <c r="L15" s="82"/>
      <c r="M15" s="82"/>
      <c r="N15" s="36" t="s">
        <v>182</v>
      </c>
    </row>
    <row r="16" spans="1:16" s="8" customFormat="1" ht="20.399999999999999" x14ac:dyDescent="0.25">
      <c r="A16" s="140" t="s">
        <v>1382</v>
      </c>
      <c r="B16" s="140"/>
      <c r="C16" s="34"/>
      <c r="D16" s="35"/>
      <c r="E16" s="35">
        <v>1</v>
      </c>
      <c r="F16" s="46" t="s">
        <v>1393</v>
      </c>
      <c r="G16" s="72">
        <v>1</v>
      </c>
      <c r="H16" s="76" t="s">
        <v>14</v>
      </c>
      <c r="I16" s="52">
        <v>28</v>
      </c>
      <c r="J16" s="51">
        <v>28</v>
      </c>
      <c r="K16" s="82"/>
      <c r="L16" s="82"/>
      <c r="M16" s="82"/>
      <c r="N16" s="36" t="s">
        <v>182</v>
      </c>
    </row>
    <row r="17" spans="1:14" s="8" customFormat="1" ht="13.8" x14ac:dyDescent="0.25">
      <c r="A17" s="140"/>
      <c r="B17" s="140"/>
      <c r="C17" s="34"/>
      <c r="D17" s="35"/>
      <c r="E17" s="35">
        <v>2</v>
      </c>
      <c r="F17" s="46" t="s">
        <v>1394</v>
      </c>
      <c r="G17" s="72">
        <v>2</v>
      </c>
      <c r="H17" s="76" t="s">
        <v>14</v>
      </c>
      <c r="I17" s="52">
        <v>17.8</v>
      </c>
      <c r="J17" s="51">
        <v>17.8</v>
      </c>
      <c r="K17" s="82"/>
      <c r="L17" s="82"/>
      <c r="M17" s="82"/>
      <c r="N17" s="36" t="s">
        <v>182</v>
      </c>
    </row>
    <row r="18" spans="1:14" s="8" customFormat="1" ht="13.8" x14ac:dyDescent="0.25">
      <c r="A18" s="140"/>
      <c r="B18" s="140"/>
      <c r="C18" s="34"/>
      <c r="D18" s="35"/>
      <c r="E18" s="35">
        <v>2</v>
      </c>
      <c r="F18" s="46" t="s">
        <v>1395</v>
      </c>
      <c r="G18" s="72">
        <v>2</v>
      </c>
      <c r="H18" s="76" t="s">
        <v>14</v>
      </c>
      <c r="I18" s="52">
        <v>6.5</v>
      </c>
      <c r="J18" s="51">
        <v>6.5</v>
      </c>
      <c r="K18" s="82"/>
      <c r="L18" s="82"/>
      <c r="M18" s="82"/>
      <c r="N18" s="36" t="s">
        <v>182</v>
      </c>
    </row>
    <row r="19" spans="1:14" s="8" customFormat="1" ht="13.8" x14ac:dyDescent="0.25">
      <c r="A19" s="140"/>
      <c r="B19" s="140"/>
      <c r="C19" s="34"/>
      <c r="D19" s="35"/>
      <c r="E19" s="35">
        <v>2</v>
      </c>
      <c r="F19" s="46" t="s">
        <v>1396</v>
      </c>
      <c r="G19" s="72">
        <v>2</v>
      </c>
      <c r="H19" s="76" t="s">
        <v>14</v>
      </c>
      <c r="I19" s="52">
        <v>9.75</v>
      </c>
      <c r="J19" s="51">
        <v>9.75</v>
      </c>
      <c r="K19" s="82"/>
      <c r="L19" s="82"/>
      <c r="M19" s="82"/>
      <c r="N19" s="36" t="s">
        <v>182</v>
      </c>
    </row>
    <row r="20" spans="1:14" s="8" customFormat="1" ht="13.8" x14ac:dyDescent="0.25">
      <c r="A20" s="140"/>
      <c r="B20" s="140"/>
      <c r="C20" s="34"/>
      <c r="D20" s="35"/>
      <c r="E20" s="35">
        <v>2</v>
      </c>
      <c r="F20" s="46" t="s">
        <v>1397</v>
      </c>
      <c r="G20" s="72">
        <v>2</v>
      </c>
      <c r="H20" s="76" t="s">
        <v>14</v>
      </c>
      <c r="I20" s="52">
        <v>6.9</v>
      </c>
      <c r="J20" s="51">
        <v>6.9</v>
      </c>
      <c r="K20" s="82"/>
      <c r="L20" s="82"/>
      <c r="M20" s="82"/>
      <c r="N20" s="36" t="s">
        <v>182</v>
      </c>
    </row>
    <row r="21" spans="1:14" s="8" customFormat="1" ht="13.8" x14ac:dyDescent="0.25">
      <c r="A21" s="140"/>
      <c r="B21" s="140"/>
      <c r="C21" s="34"/>
      <c r="D21" s="35"/>
      <c r="E21" s="35">
        <v>2</v>
      </c>
      <c r="F21" s="46" t="s">
        <v>1398</v>
      </c>
      <c r="G21" s="72">
        <v>2</v>
      </c>
      <c r="H21" s="76" t="s">
        <v>14</v>
      </c>
      <c r="I21" s="52">
        <v>6.9</v>
      </c>
      <c r="J21" s="51">
        <v>6.9</v>
      </c>
      <c r="K21" s="82"/>
      <c r="L21" s="82"/>
      <c r="M21" s="82"/>
      <c r="N21" s="36" t="s">
        <v>182</v>
      </c>
    </row>
    <row r="22" spans="1:14" s="8" customFormat="1" ht="13.8" x14ac:dyDescent="0.25">
      <c r="A22" s="140"/>
      <c r="B22" s="140"/>
      <c r="C22" s="34"/>
      <c r="D22" s="35"/>
      <c r="E22" s="35">
        <v>2</v>
      </c>
      <c r="F22" s="46" t="s">
        <v>1399</v>
      </c>
      <c r="G22" s="72">
        <v>2</v>
      </c>
      <c r="H22" s="76" t="s">
        <v>14</v>
      </c>
      <c r="I22" s="52">
        <v>6.9</v>
      </c>
      <c r="J22" s="51">
        <v>6.9</v>
      </c>
      <c r="K22" s="82"/>
      <c r="L22" s="82"/>
      <c r="M22" s="82"/>
      <c r="N22" s="36" t="s">
        <v>182</v>
      </c>
    </row>
    <row r="23" spans="1:14" s="8" customFormat="1" ht="13.8" x14ac:dyDescent="0.25">
      <c r="A23" s="140"/>
      <c r="B23" s="140"/>
      <c r="C23" s="34"/>
      <c r="D23" s="35"/>
      <c r="E23" s="35">
        <v>2</v>
      </c>
      <c r="F23" s="46" t="s">
        <v>1400</v>
      </c>
      <c r="G23" s="72">
        <v>2</v>
      </c>
      <c r="H23" s="76" t="s">
        <v>14</v>
      </c>
      <c r="I23" s="52">
        <v>10.17</v>
      </c>
      <c r="J23" s="51">
        <v>10.17</v>
      </c>
      <c r="K23" s="82"/>
      <c r="L23" s="82"/>
      <c r="M23" s="82"/>
      <c r="N23" s="36" t="s">
        <v>182</v>
      </c>
    </row>
    <row r="24" spans="1:14" s="8" customFormat="1" ht="13.8" x14ac:dyDescent="0.25">
      <c r="A24" s="140"/>
      <c r="B24" s="140"/>
      <c r="C24" s="34"/>
      <c r="D24" s="35"/>
      <c r="E24" s="35">
        <v>2</v>
      </c>
      <c r="F24" s="46" t="s">
        <v>1401</v>
      </c>
      <c r="G24" s="72">
        <v>2</v>
      </c>
      <c r="H24" s="76" t="s">
        <v>14</v>
      </c>
      <c r="I24" s="52">
        <v>9.8000000000000007</v>
      </c>
      <c r="J24" s="51">
        <v>9.8000000000000007</v>
      </c>
      <c r="K24" s="82"/>
      <c r="L24" s="82"/>
      <c r="M24" s="82"/>
      <c r="N24" s="36" t="s">
        <v>182</v>
      </c>
    </row>
    <row r="25" spans="1:14" s="8" customFormat="1" ht="13.8" x14ac:dyDescent="0.25">
      <c r="A25" s="140"/>
      <c r="B25" s="140"/>
      <c r="C25" s="34"/>
      <c r="D25" s="35"/>
      <c r="E25" s="35">
        <v>2</v>
      </c>
      <c r="F25" s="46" t="s">
        <v>1402</v>
      </c>
      <c r="G25" s="72">
        <v>2</v>
      </c>
      <c r="H25" s="76" t="s">
        <v>14</v>
      </c>
      <c r="I25" s="52">
        <v>10.73</v>
      </c>
      <c r="J25" s="51">
        <v>10.73</v>
      </c>
      <c r="K25" s="82"/>
      <c r="L25" s="82"/>
      <c r="M25" s="82"/>
      <c r="N25" s="36" t="s">
        <v>182</v>
      </c>
    </row>
    <row r="26" spans="1:14" s="8" customFormat="1" ht="13.8" x14ac:dyDescent="0.25">
      <c r="A26" s="140"/>
      <c r="B26" s="140"/>
      <c r="C26" s="34"/>
      <c r="D26" s="35"/>
      <c r="E26" s="35">
        <v>2</v>
      </c>
      <c r="F26" s="46" t="s">
        <v>1403</v>
      </c>
      <c r="G26" s="72">
        <v>2</v>
      </c>
      <c r="H26" s="76" t="s">
        <v>14</v>
      </c>
      <c r="I26" s="52">
        <v>6</v>
      </c>
      <c r="J26" s="51">
        <v>6</v>
      </c>
      <c r="K26" s="82"/>
      <c r="L26" s="82"/>
      <c r="M26" s="82"/>
      <c r="N26" s="36" t="s">
        <v>182</v>
      </c>
    </row>
    <row r="27" spans="1:14" s="8" customFormat="1" ht="13.8" x14ac:dyDescent="0.25">
      <c r="A27" s="35"/>
      <c r="B27" s="35"/>
      <c r="C27" s="34"/>
      <c r="D27" s="35"/>
      <c r="E27" s="35">
        <v>2</v>
      </c>
      <c r="F27" s="46" t="s">
        <v>1404</v>
      </c>
      <c r="G27" s="72">
        <v>2</v>
      </c>
      <c r="H27" s="76" t="s">
        <v>14</v>
      </c>
      <c r="I27" s="52">
        <v>10.73</v>
      </c>
      <c r="J27" s="51">
        <v>10.73</v>
      </c>
      <c r="K27" s="82"/>
      <c r="L27" s="82"/>
      <c r="M27" s="82"/>
      <c r="N27" s="36" t="s">
        <v>182</v>
      </c>
    </row>
    <row r="28" spans="1:14" s="8" customFormat="1" ht="13.8" x14ac:dyDescent="0.25">
      <c r="A28" s="35"/>
      <c r="B28" s="35"/>
      <c r="C28" s="34"/>
      <c r="D28" s="35"/>
      <c r="E28" s="35">
        <v>2</v>
      </c>
      <c r="F28" s="46" t="s">
        <v>1405</v>
      </c>
      <c r="G28" s="72">
        <v>2</v>
      </c>
      <c r="H28" s="76" t="s">
        <v>14</v>
      </c>
      <c r="I28" s="52">
        <v>11.12</v>
      </c>
      <c r="J28" s="51">
        <v>11.12</v>
      </c>
      <c r="K28" s="82"/>
      <c r="L28" s="82"/>
      <c r="M28" s="82"/>
      <c r="N28" s="36" t="s">
        <v>182</v>
      </c>
    </row>
    <row r="29" spans="1:14" s="8" customFormat="1" ht="13.8" x14ac:dyDescent="0.25">
      <c r="A29" s="35"/>
      <c r="B29" s="35"/>
      <c r="C29" s="34"/>
      <c r="D29" s="35"/>
      <c r="E29" s="35">
        <v>1</v>
      </c>
      <c r="F29" s="46" t="s">
        <v>1406</v>
      </c>
      <c r="G29" s="72">
        <v>2</v>
      </c>
      <c r="H29" s="76" t="s">
        <v>437</v>
      </c>
      <c r="I29" s="52">
        <v>78</v>
      </c>
      <c r="J29" s="51">
        <v>78</v>
      </c>
      <c r="K29" s="82"/>
      <c r="L29" s="82"/>
      <c r="M29" s="82"/>
      <c r="N29" s="36" t="s">
        <v>182</v>
      </c>
    </row>
    <row r="30" spans="1:14" s="8" customFormat="1" ht="13.8" x14ac:dyDescent="0.25">
      <c r="A30" s="35"/>
      <c r="B30" s="35"/>
      <c r="C30" s="34"/>
      <c r="D30" s="35"/>
      <c r="E30" s="35">
        <v>1</v>
      </c>
      <c r="F30" s="46" t="s">
        <v>1407</v>
      </c>
      <c r="G30" s="72">
        <v>2</v>
      </c>
      <c r="H30" s="76" t="s">
        <v>437</v>
      </c>
      <c r="I30" s="52">
        <v>43</v>
      </c>
      <c r="J30" s="51">
        <v>43</v>
      </c>
      <c r="K30" s="82"/>
      <c r="L30" s="82"/>
      <c r="M30" s="82"/>
      <c r="N30" s="36" t="s">
        <v>182</v>
      </c>
    </row>
    <row r="31" spans="1:14" s="8" customFormat="1" ht="13.8" x14ac:dyDescent="0.25">
      <c r="A31" s="35"/>
      <c r="B31" s="35"/>
      <c r="C31" s="34"/>
      <c r="D31" s="35"/>
      <c r="E31" s="35">
        <v>1</v>
      </c>
      <c r="F31" s="46" t="s">
        <v>1408</v>
      </c>
      <c r="G31" s="72">
        <v>1</v>
      </c>
      <c r="H31" s="76" t="s">
        <v>14</v>
      </c>
      <c r="I31" s="52">
        <v>41</v>
      </c>
      <c r="J31" s="51">
        <v>41</v>
      </c>
      <c r="K31" s="82"/>
      <c r="L31" s="82"/>
      <c r="M31" s="82"/>
      <c r="N31" s="36" t="s">
        <v>182</v>
      </c>
    </row>
    <row r="32" spans="1:14" s="8" customFormat="1" ht="13.8" x14ac:dyDescent="0.25">
      <c r="A32" s="35"/>
      <c r="B32" s="35"/>
      <c r="C32" s="34"/>
      <c r="D32" s="35"/>
      <c r="E32" s="35">
        <v>1</v>
      </c>
      <c r="F32" s="46" t="s">
        <v>1409</v>
      </c>
      <c r="G32" s="72">
        <v>1</v>
      </c>
      <c r="H32" s="76" t="s">
        <v>14</v>
      </c>
      <c r="I32" s="52">
        <v>0.49</v>
      </c>
      <c r="J32" s="51">
        <v>0.49</v>
      </c>
      <c r="K32" s="82"/>
      <c r="L32" s="82"/>
      <c r="M32" s="82"/>
      <c r="N32" s="36" t="s">
        <v>182</v>
      </c>
    </row>
    <row r="33" spans="1:14" s="8" customFormat="1" ht="13.8" x14ac:dyDescent="0.25">
      <c r="A33" s="35"/>
      <c r="B33" s="35"/>
      <c r="C33" s="34"/>
      <c r="D33" s="35"/>
      <c r="E33" s="35">
        <v>1</v>
      </c>
      <c r="F33" s="46" t="s">
        <v>1410</v>
      </c>
      <c r="G33" s="72">
        <v>1</v>
      </c>
      <c r="H33" s="76" t="s">
        <v>14</v>
      </c>
      <c r="I33" s="52">
        <v>0.47</v>
      </c>
      <c r="J33" s="51">
        <v>0.47</v>
      </c>
      <c r="K33" s="82"/>
      <c r="L33" s="82"/>
      <c r="M33" s="82"/>
      <c r="N33" s="36" t="s">
        <v>182</v>
      </c>
    </row>
    <row r="34" spans="1:14" s="8" customFormat="1" ht="13.8" x14ac:dyDescent="0.25">
      <c r="A34" s="35"/>
      <c r="B34" s="35"/>
      <c r="C34" s="34"/>
      <c r="D34" s="35"/>
      <c r="E34" s="35">
        <v>1</v>
      </c>
      <c r="F34" s="46" t="s">
        <v>1411</v>
      </c>
      <c r="G34" s="72">
        <v>1</v>
      </c>
      <c r="H34" s="76" t="s">
        <v>14</v>
      </c>
      <c r="I34" s="52">
        <v>0.54</v>
      </c>
      <c r="J34" s="51">
        <v>0.54</v>
      </c>
      <c r="K34" s="82"/>
      <c r="L34" s="82"/>
      <c r="M34" s="82"/>
      <c r="N34" s="36" t="s">
        <v>182</v>
      </c>
    </row>
    <row r="35" spans="1:14" s="8" customFormat="1" ht="13.8" x14ac:dyDescent="0.25">
      <c r="A35" s="35"/>
      <c r="B35" s="35"/>
      <c r="C35" s="34"/>
      <c r="D35" s="35"/>
      <c r="E35" s="35">
        <v>1</v>
      </c>
      <c r="F35" s="46" t="s">
        <v>1412</v>
      </c>
      <c r="G35" s="72">
        <v>1</v>
      </c>
      <c r="H35" s="76" t="s">
        <v>14</v>
      </c>
      <c r="I35" s="52">
        <v>0.52</v>
      </c>
      <c r="J35" s="51">
        <v>0.52</v>
      </c>
      <c r="K35" s="82"/>
      <c r="L35" s="82"/>
      <c r="M35" s="82"/>
      <c r="N35" s="36" t="s">
        <v>182</v>
      </c>
    </row>
    <row r="36" spans="1:14" s="8" customFormat="1" ht="13.8" x14ac:dyDescent="0.25">
      <c r="A36" s="35"/>
      <c r="B36" s="35"/>
      <c r="C36" s="34"/>
      <c r="D36" s="35"/>
      <c r="E36" s="35">
        <v>1</v>
      </c>
      <c r="F36" s="46" t="s">
        <v>1413</v>
      </c>
      <c r="G36" s="72">
        <v>1500</v>
      </c>
      <c r="H36" s="76" t="s">
        <v>14</v>
      </c>
      <c r="I36" s="52">
        <v>1</v>
      </c>
      <c r="J36" s="51">
        <v>1</v>
      </c>
      <c r="K36" s="82"/>
      <c r="L36" s="82"/>
      <c r="M36" s="82"/>
      <c r="N36" s="36" t="s">
        <v>182</v>
      </c>
    </row>
    <row r="37" spans="1:14" s="8" customFormat="1" ht="12.75" customHeight="1" x14ac:dyDescent="0.25">
      <c r="A37" s="7"/>
      <c r="B37" s="12"/>
      <c r="C37" s="12"/>
      <c r="D37" s="7"/>
      <c r="E37" s="14"/>
      <c r="F37" s="13"/>
      <c r="G37" s="13"/>
      <c r="H37" s="13"/>
      <c r="I37" s="15"/>
      <c r="J37" s="15"/>
      <c r="K37" s="15"/>
      <c r="L37" s="15"/>
      <c r="M37" s="7"/>
    </row>
    <row r="38" spans="1:14" s="8" customFormat="1" ht="12.75" customHeight="1" x14ac:dyDescent="0.25">
      <c r="A38" s="7"/>
      <c r="B38" s="12"/>
      <c r="C38" s="12"/>
      <c r="D38" s="7"/>
      <c r="E38" s="7"/>
      <c r="F38" s="13"/>
      <c r="G38" s="13"/>
      <c r="H38" s="13"/>
      <c r="I38" s="15"/>
      <c r="J38" s="15"/>
      <c r="K38" s="15"/>
      <c r="L38" s="15"/>
      <c r="M38" s="13"/>
    </row>
    <row r="39" spans="1:14" s="9" customFormat="1" ht="12.75" customHeight="1" x14ac:dyDescent="0.25">
      <c r="A39" s="6"/>
      <c r="B39" s="20"/>
      <c r="C39" s="20"/>
      <c r="D39" s="6"/>
      <c r="E39" s="6"/>
      <c r="F39" s="21"/>
      <c r="G39" s="21"/>
      <c r="H39" s="21"/>
      <c r="I39" s="23"/>
      <c r="J39" s="23"/>
      <c r="K39" s="23"/>
      <c r="L39" s="23"/>
      <c r="M39" s="19"/>
    </row>
    <row r="40" spans="1:14" s="9" customFormat="1" ht="12.75" customHeight="1" x14ac:dyDescent="0.25">
      <c r="A40" s="6"/>
      <c r="B40" s="20"/>
      <c r="C40" s="20"/>
      <c r="D40" s="6"/>
      <c r="E40" s="6"/>
      <c r="F40" s="21"/>
      <c r="G40" s="21"/>
      <c r="H40" s="21"/>
      <c r="I40" s="23"/>
      <c r="J40" s="23"/>
      <c r="K40" s="23"/>
      <c r="L40" s="23"/>
      <c r="M40" s="19"/>
    </row>
    <row r="41" spans="1:14" ht="13.8" x14ac:dyDescent="0.25">
      <c r="A41" s="5"/>
      <c r="B41" s="22"/>
      <c r="C41" s="22"/>
      <c r="D41" s="22"/>
      <c r="E41" s="22"/>
      <c r="F41" s="24"/>
      <c r="G41" s="24"/>
      <c r="H41" s="24"/>
      <c r="I41" s="15"/>
      <c r="J41" s="15"/>
      <c r="K41" s="15"/>
      <c r="L41" s="15"/>
      <c r="M41" s="5"/>
    </row>
    <row r="42" spans="1:14" ht="13.8" x14ac:dyDescent="0.25">
      <c r="A42" s="5"/>
      <c r="B42" s="22"/>
      <c r="C42" s="22"/>
      <c r="D42" s="22"/>
      <c r="E42" s="22"/>
      <c r="F42" s="24"/>
      <c r="G42" s="24"/>
      <c r="H42" s="24"/>
      <c r="I42" s="25"/>
      <c r="J42" s="26"/>
      <c r="K42" s="26"/>
      <c r="L42" s="26"/>
      <c r="M42" s="5"/>
    </row>
    <row r="43" spans="1:14" ht="13.8" x14ac:dyDescent="0.25">
      <c r="A43" s="5"/>
      <c r="B43" s="22"/>
      <c r="C43" s="22"/>
      <c r="D43" s="22"/>
      <c r="E43" s="22"/>
      <c r="F43" s="24"/>
      <c r="G43" s="24"/>
      <c r="H43" s="24"/>
      <c r="I43" s="25"/>
      <c r="J43" s="26"/>
      <c r="K43" s="26"/>
      <c r="L43" s="26"/>
      <c r="M43" s="5"/>
    </row>
    <row r="44" spans="1:14" ht="13.8" x14ac:dyDescent="0.25">
      <c r="A44" s="5"/>
      <c r="B44" s="22"/>
      <c r="C44" s="22"/>
      <c r="D44" s="22"/>
      <c r="E44" s="22"/>
      <c r="F44" s="24"/>
      <c r="G44" s="24"/>
      <c r="H44" s="24"/>
      <c r="I44" s="25"/>
      <c r="J44" s="26"/>
      <c r="K44" s="26"/>
      <c r="L44" s="26"/>
      <c r="M44" s="5"/>
    </row>
    <row r="45" spans="1:14" ht="14.25" customHeight="1" x14ac:dyDescent="0.25">
      <c r="A45" s="5"/>
      <c r="B45" s="5"/>
      <c r="C45" s="5"/>
      <c r="D45" s="5"/>
      <c r="E45" s="5"/>
      <c r="F45" s="5"/>
      <c r="G45" s="69"/>
      <c r="H45" s="69"/>
      <c r="I45" s="26"/>
      <c r="J45" s="26"/>
      <c r="K45" s="26"/>
      <c r="L45" s="26"/>
      <c r="M45" s="5"/>
    </row>
    <row r="46" spans="1:14" ht="14.25" customHeight="1" x14ac:dyDescent="0.25">
      <c r="A46" s="5"/>
      <c r="B46" s="5"/>
      <c r="C46" s="5"/>
      <c r="D46" s="5"/>
      <c r="E46" s="5"/>
      <c r="F46" s="5"/>
      <c r="G46" s="69"/>
      <c r="H46" s="69"/>
      <c r="I46" s="26"/>
      <c r="J46" s="26"/>
      <c r="K46" s="26"/>
      <c r="L46" s="26"/>
      <c r="M46" s="5"/>
    </row>
    <row r="47" spans="1:14" ht="14.25" customHeight="1" x14ac:dyDescent="0.25">
      <c r="A47" s="5"/>
      <c r="B47" s="5"/>
      <c r="C47" s="5"/>
      <c r="D47" s="5"/>
      <c r="E47" s="5"/>
      <c r="F47" s="5"/>
      <c r="G47" s="69"/>
      <c r="H47" s="69"/>
      <c r="I47" s="26"/>
      <c r="J47" s="26"/>
      <c r="K47" s="26"/>
      <c r="L47" s="26"/>
      <c r="M47" s="5"/>
    </row>
    <row r="48" spans="1:14" ht="13.8" x14ac:dyDescent="0.25">
      <c r="B48" s="5"/>
      <c r="C48" s="5"/>
      <c r="D48" s="5"/>
      <c r="E48" s="5"/>
      <c r="F48" s="5"/>
      <c r="G48" s="69"/>
      <c r="H48" s="69"/>
      <c r="I48" s="18"/>
      <c r="J48" s="18"/>
      <c r="K48" s="18"/>
      <c r="L48" s="18"/>
    </row>
    <row r="49" spans="2:12" ht="15.6" x14ac:dyDescent="0.3">
      <c r="B49" s="27"/>
      <c r="C49" s="27"/>
      <c r="F49" s="1"/>
      <c r="G49" s="1"/>
      <c r="H49" s="1"/>
      <c r="I49" s="18"/>
      <c r="J49" s="18"/>
      <c r="K49" s="18"/>
      <c r="L49" s="18"/>
    </row>
    <row r="50" spans="2:12" x14ac:dyDescent="0.25">
      <c r="F50" s="1"/>
      <c r="G50" s="1"/>
      <c r="H50" s="1"/>
      <c r="I50" s="18"/>
      <c r="J50" s="18"/>
      <c r="K50" s="18"/>
      <c r="L50" s="18"/>
    </row>
    <row r="51" spans="2:12" x14ac:dyDescent="0.25">
      <c r="F51" s="1"/>
      <c r="G51" s="1"/>
      <c r="H51" s="1"/>
      <c r="I51" s="18"/>
      <c r="J51" s="18"/>
      <c r="K51" s="18"/>
      <c r="L51" s="18"/>
    </row>
    <row r="52" spans="2:12" x14ac:dyDescent="0.25">
      <c r="F52" s="1"/>
      <c r="G52" s="1"/>
      <c r="H52" s="1"/>
      <c r="I52" s="18"/>
      <c r="J52" s="18"/>
      <c r="K52" s="18"/>
      <c r="L52" s="18"/>
    </row>
    <row r="53" spans="2:12" x14ac:dyDescent="0.25">
      <c r="F53" s="1"/>
      <c r="G53" s="1"/>
      <c r="H53" s="1"/>
      <c r="I53" s="18"/>
      <c r="J53" s="18"/>
      <c r="K53" s="18"/>
      <c r="L53" s="18"/>
    </row>
    <row r="54" spans="2:12" x14ac:dyDescent="0.25">
      <c r="F54" s="1"/>
      <c r="G54" s="1"/>
      <c r="H54" s="1"/>
      <c r="I54" s="18"/>
      <c r="J54" s="18"/>
      <c r="K54" s="18"/>
      <c r="L54" s="18"/>
    </row>
    <row r="55" spans="2:12" x14ac:dyDescent="0.25">
      <c r="F55" s="1"/>
      <c r="G55" s="1"/>
      <c r="H55" s="1"/>
      <c r="I55" s="18"/>
      <c r="J55" s="18"/>
      <c r="K55" s="18"/>
      <c r="L55" s="18"/>
    </row>
    <row r="56" spans="2:12" x14ac:dyDescent="0.25">
      <c r="F56" s="1"/>
      <c r="G56" s="1"/>
      <c r="H56" s="1"/>
      <c r="I56" s="18"/>
      <c r="J56" s="18"/>
      <c r="K56" s="18"/>
      <c r="L56" s="18"/>
    </row>
    <row r="57" spans="2:12" x14ac:dyDescent="0.25">
      <c r="F57" s="1"/>
      <c r="G57" s="1"/>
      <c r="H57" s="1"/>
      <c r="I57" s="18"/>
      <c r="J57" s="18"/>
      <c r="K57" s="18"/>
      <c r="L57" s="18"/>
    </row>
    <row r="58" spans="2:12" x14ac:dyDescent="0.25">
      <c r="F58" s="1"/>
      <c r="G58" s="1"/>
      <c r="H58" s="1"/>
      <c r="I58" s="18"/>
      <c r="J58" s="18"/>
      <c r="K58" s="18"/>
      <c r="L58" s="18"/>
    </row>
    <row r="59" spans="2:12" x14ac:dyDescent="0.25">
      <c r="F59" s="1"/>
      <c r="G59" s="1"/>
      <c r="H59" s="1"/>
      <c r="I59" s="18"/>
      <c r="J59" s="18"/>
      <c r="K59" s="18"/>
      <c r="L59" s="18"/>
    </row>
    <row r="60" spans="2:12" x14ac:dyDescent="0.25">
      <c r="F60" s="1"/>
      <c r="G60" s="1"/>
      <c r="H60" s="1"/>
      <c r="I60" s="18"/>
      <c r="J60" s="18"/>
      <c r="K60" s="18"/>
      <c r="L60" s="18"/>
    </row>
    <row r="61" spans="2:12" x14ac:dyDescent="0.25">
      <c r="F61" s="1"/>
      <c r="G61" s="1"/>
      <c r="H61" s="1"/>
      <c r="I61" s="18"/>
      <c r="J61" s="18"/>
      <c r="K61" s="18"/>
      <c r="L61" s="18"/>
    </row>
    <row r="62" spans="2:12" x14ac:dyDescent="0.25">
      <c r="F62" s="1"/>
      <c r="G62" s="1"/>
      <c r="H62" s="1"/>
      <c r="J62" s="18"/>
      <c r="K62" s="18"/>
      <c r="L62"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B2076-2027-48F9-94F6-64DA39F37AAE}">
  <dimension ref="A1:P14"/>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1741</v>
      </c>
      <c r="M1" s="81" t="s">
        <v>1739</v>
      </c>
      <c r="N1" s="39" t="s">
        <v>124</v>
      </c>
      <c r="O1" s="7"/>
      <c r="P1" s="7"/>
    </row>
    <row r="2" spans="1:16" s="8" customFormat="1" ht="20.399999999999999" x14ac:dyDescent="0.25">
      <c r="A2" s="140" t="s">
        <v>1571</v>
      </c>
      <c r="B2" s="140" t="s">
        <v>1570</v>
      </c>
      <c r="C2" s="34" t="s">
        <v>21</v>
      </c>
      <c r="D2" s="35"/>
      <c r="E2" s="35">
        <v>1</v>
      </c>
      <c r="F2" s="46" t="s">
        <v>1572</v>
      </c>
      <c r="G2" s="128">
        <v>1</v>
      </c>
      <c r="H2" s="129" t="s">
        <v>14</v>
      </c>
      <c r="I2" s="48">
        <v>1600</v>
      </c>
      <c r="J2" s="48">
        <v>1600</v>
      </c>
      <c r="K2" s="82"/>
      <c r="L2" s="82"/>
      <c r="M2" s="82"/>
      <c r="N2" s="36"/>
    </row>
    <row r="3" spans="1:16" s="8" customFormat="1" ht="20.399999999999999" x14ac:dyDescent="0.25">
      <c r="A3" s="140" t="s">
        <v>1571</v>
      </c>
      <c r="B3" s="140" t="s">
        <v>1570</v>
      </c>
      <c r="C3" s="34" t="s">
        <v>21</v>
      </c>
      <c r="D3" s="35"/>
      <c r="E3" s="35">
        <v>1</v>
      </c>
      <c r="F3" s="46" t="s">
        <v>1573</v>
      </c>
      <c r="G3" s="128">
        <v>1</v>
      </c>
      <c r="H3" s="129" t="s">
        <v>14</v>
      </c>
      <c r="I3" s="48">
        <v>55</v>
      </c>
      <c r="J3" s="48">
        <v>55</v>
      </c>
      <c r="K3" s="82"/>
      <c r="L3" s="82"/>
      <c r="M3" s="82"/>
      <c r="N3" s="36"/>
    </row>
    <row r="4" spans="1:16" s="8" customFormat="1" ht="26.4" x14ac:dyDescent="0.25">
      <c r="A4" s="140" t="s">
        <v>1571</v>
      </c>
      <c r="B4" s="140" t="s">
        <v>1570</v>
      </c>
      <c r="C4" s="34" t="s">
        <v>21</v>
      </c>
      <c r="D4" s="141"/>
      <c r="E4" s="35">
        <v>1</v>
      </c>
      <c r="F4" s="46" t="s">
        <v>1575</v>
      </c>
      <c r="G4" s="128">
        <v>1</v>
      </c>
      <c r="H4" s="129" t="s">
        <v>14</v>
      </c>
      <c r="I4" s="48">
        <v>5050</v>
      </c>
      <c r="J4" s="48">
        <v>5050</v>
      </c>
      <c r="K4" s="82">
        <v>3.6</v>
      </c>
      <c r="L4" s="82">
        <v>0.98</v>
      </c>
      <c r="M4" s="82">
        <v>2.19</v>
      </c>
      <c r="N4" s="36"/>
    </row>
    <row r="5" spans="1:16" s="8" customFormat="1" ht="26.4" x14ac:dyDescent="0.25">
      <c r="A5" s="140" t="s">
        <v>1571</v>
      </c>
      <c r="B5" s="140" t="s">
        <v>1570</v>
      </c>
      <c r="C5" s="34" t="s">
        <v>21</v>
      </c>
      <c r="D5" s="141"/>
      <c r="E5" s="35">
        <v>1</v>
      </c>
      <c r="F5" s="46" t="s">
        <v>1578</v>
      </c>
      <c r="G5" s="128">
        <v>1</v>
      </c>
      <c r="H5" s="76" t="s">
        <v>14</v>
      </c>
      <c r="I5" s="52">
        <v>345</v>
      </c>
      <c r="J5" s="51">
        <v>345</v>
      </c>
      <c r="K5" s="82">
        <v>0.9</v>
      </c>
      <c r="L5" s="82">
        <v>0.65</v>
      </c>
      <c r="M5" s="82">
        <v>0.67</v>
      </c>
      <c r="N5" s="36"/>
    </row>
    <row r="6" spans="1:16" s="8" customFormat="1" ht="20.399999999999999" x14ac:dyDescent="0.25">
      <c r="A6" s="140" t="s">
        <v>1571</v>
      </c>
      <c r="B6" s="140" t="s">
        <v>1570</v>
      </c>
      <c r="C6" s="34" t="s">
        <v>21</v>
      </c>
      <c r="D6" s="141"/>
      <c r="E6" s="35">
        <v>1</v>
      </c>
      <c r="F6" s="46" t="s">
        <v>1574</v>
      </c>
      <c r="G6" s="128">
        <v>1</v>
      </c>
      <c r="H6" s="129" t="s">
        <v>14</v>
      </c>
      <c r="I6" s="48">
        <v>20</v>
      </c>
      <c r="J6" s="149">
        <v>20</v>
      </c>
      <c r="K6" s="82">
        <v>1.28</v>
      </c>
      <c r="L6" s="82">
        <v>0.36</v>
      </c>
      <c r="M6" s="82">
        <v>0.18</v>
      </c>
      <c r="N6" s="36"/>
    </row>
    <row r="7" spans="1:16" s="8" customFormat="1" ht="173.4" x14ac:dyDescent="0.25">
      <c r="A7" s="140" t="s">
        <v>1571</v>
      </c>
      <c r="B7" s="140" t="s">
        <v>1570</v>
      </c>
      <c r="C7" s="34" t="s">
        <v>20</v>
      </c>
      <c r="D7" s="141"/>
      <c r="E7" s="35">
        <v>1</v>
      </c>
      <c r="F7" s="164" t="s">
        <v>1579</v>
      </c>
      <c r="G7" s="128">
        <v>26</v>
      </c>
      <c r="H7" s="129" t="s">
        <v>14</v>
      </c>
      <c r="I7" s="48">
        <v>320</v>
      </c>
      <c r="J7" s="48">
        <v>420</v>
      </c>
      <c r="K7" s="82">
        <v>1.28</v>
      </c>
      <c r="L7" s="82">
        <v>1.08</v>
      </c>
      <c r="M7" s="82">
        <v>1.18</v>
      </c>
      <c r="N7" s="36"/>
    </row>
    <row r="8" spans="1:16" s="8" customFormat="1" ht="20.399999999999999" x14ac:dyDescent="0.25">
      <c r="A8" s="140" t="s">
        <v>1571</v>
      </c>
      <c r="B8" s="140" t="s">
        <v>1570</v>
      </c>
      <c r="C8" s="34" t="s">
        <v>21</v>
      </c>
      <c r="D8" s="35"/>
      <c r="E8" s="35">
        <v>1</v>
      </c>
      <c r="F8" s="46" t="s">
        <v>1580</v>
      </c>
      <c r="G8" s="147">
        <v>1</v>
      </c>
      <c r="H8" s="129" t="s">
        <v>14</v>
      </c>
      <c r="I8" s="48">
        <v>830</v>
      </c>
      <c r="J8" s="48">
        <v>830</v>
      </c>
      <c r="K8" s="82">
        <v>2.83</v>
      </c>
      <c r="L8" s="82">
        <v>1.64</v>
      </c>
      <c r="M8" s="82">
        <v>1</v>
      </c>
      <c r="N8" s="36"/>
    </row>
    <row r="9" spans="1:16" s="8" customFormat="1" ht="13.8" x14ac:dyDescent="0.25">
      <c r="A9" s="140"/>
      <c r="B9" s="140"/>
      <c r="C9" s="34"/>
      <c r="D9" s="35"/>
      <c r="E9" s="35"/>
      <c r="F9" s="46"/>
      <c r="G9" s="72"/>
      <c r="H9" s="76"/>
      <c r="I9" s="52"/>
      <c r="J9" s="51"/>
      <c r="K9" s="82"/>
      <c r="L9" s="82"/>
      <c r="M9" s="82"/>
      <c r="N9" s="36"/>
    </row>
    <row r="10" spans="1:16" s="8" customFormat="1" ht="13.8" x14ac:dyDescent="0.25">
      <c r="A10" s="140"/>
      <c r="B10" s="140"/>
      <c r="C10" s="34"/>
      <c r="D10" s="35"/>
      <c r="E10" s="35"/>
      <c r="F10" s="46"/>
      <c r="G10" s="72"/>
      <c r="H10" s="76"/>
      <c r="I10" s="52"/>
      <c r="J10" s="51"/>
      <c r="K10" s="82"/>
      <c r="L10" s="82"/>
      <c r="M10" s="82"/>
      <c r="N10" s="36"/>
    </row>
    <row r="11" spans="1:16" s="8" customFormat="1" ht="13.8" x14ac:dyDescent="0.25">
      <c r="A11" s="140"/>
      <c r="B11" s="140"/>
      <c r="C11" s="34"/>
      <c r="D11" s="35"/>
      <c r="E11" s="35"/>
      <c r="F11" s="46"/>
      <c r="G11" s="72"/>
      <c r="H11" s="76"/>
      <c r="I11" s="52"/>
      <c r="J11" s="51"/>
      <c r="K11" s="82"/>
      <c r="L11" s="82"/>
      <c r="M11" s="82"/>
      <c r="N11" s="36"/>
    </row>
    <row r="12" spans="1:16" ht="13.8" x14ac:dyDescent="0.25">
      <c r="A12" s="140"/>
      <c r="B12" s="195"/>
      <c r="C12" s="34"/>
      <c r="D12" s="35"/>
      <c r="E12" s="35"/>
      <c r="F12" s="46"/>
      <c r="G12" s="184"/>
      <c r="H12" s="198"/>
      <c r="I12" s="48"/>
      <c r="J12" s="51"/>
      <c r="K12" s="82"/>
      <c r="L12" s="82"/>
      <c r="M12" s="82"/>
      <c r="N12" s="200"/>
    </row>
    <row r="13" spans="1:16" ht="13.8" x14ac:dyDescent="0.25">
      <c r="A13" s="140"/>
      <c r="B13" s="195"/>
      <c r="C13" s="34"/>
      <c r="D13" s="35"/>
      <c r="E13" s="35"/>
      <c r="F13" s="164"/>
      <c r="G13" s="191"/>
      <c r="H13" s="199"/>
      <c r="I13" s="48"/>
      <c r="J13" s="48"/>
      <c r="K13" s="82"/>
      <c r="L13" s="82"/>
      <c r="M13" s="82"/>
      <c r="N13" s="200"/>
    </row>
    <row r="14" spans="1:16" ht="13.8" x14ac:dyDescent="0.25">
      <c r="A14" s="140"/>
      <c r="B14" s="195"/>
      <c r="C14" s="34"/>
      <c r="D14" s="35"/>
      <c r="E14" s="35"/>
      <c r="F14" s="164"/>
      <c r="G14" s="184"/>
      <c r="H14" s="198"/>
      <c r="I14" s="48"/>
      <c r="J14" s="51"/>
      <c r="K14" s="82"/>
      <c r="L14" s="82"/>
      <c r="M14" s="82"/>
      <c r="N14" s="200"/>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7BD5-7E3B-41B1-B319-75D1BB533EED}">
  <dimension ref="A1:P135"/>
  <sheetViews>
    <sheetView zoomScaleNormal="100" workbookViewId="0">
      <selection sqref="A1:XFD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1738</v>
      </c>
      <c r="M1" s="81" t="s">
        <v>1739</v>
      </c>
      <c r="N1" s="39" t="s">
        <v>124</v>
      </c>
      <c r="O1" s="7"/>
      <c r="P1" s="7"/>
    </row>
    <row r="2" spans="1:16" s="8" customFormat="1" ht="20.399999999999999" x14ac:dyDescent="0.25">
      <c r="A2" s="140" t="s">
        <v>108</v>
      </c>
      <c r="B2" s="140" t="s">
        <v>109</v>
      </c>
      <c r="C2" s="34" t="s">
        <v>21</v>
      </c>
      <c r="D2" s="35" t="s">
        <v>107</v>
      </c>
      <c r="E2" s="35">
        <v>1</v>
      </c>
      <c r="F2" s="46" t="s">
        <v>758</v>
      </c>
      <c r="G2" s="75">
        <v>1</v>
      </c>
      <c r="H2" s="76" t="s">
        <v>14</v>
      </c>
      <c r="I2" s="51">
        <v>110</v>
      </c>
      <c r="J2" s="51">
        <v>110</v>
      </c>
      <c r="K2" s="82">
        <v>1.6</v>
      </c>
      <c r="L2" s="82">
        <v>0.5</v>
      </c>
      <c r="M2" s="82">
        <v>0.75</v>
      </c>
      <c r="N2" s="38" t="s">
        <v>85</v>
      </c>
    </row>
    <row r="3" spans="1:16" s="8" customFormat="1" ht="20.399999999999999" x14ac:dyDescent="0.25">
      <c r="A3" s="140" t="s">
        <v>108</v>
      </c>
      <c r="B3" s="140" t="s">
        <v>109</v>
      </c>
      <c r="C3" s="34" t="s">
        <v>21</v>
      </c>
      <c r="D3" s="35" t="s">
        <v>107</v>
      </c>
      <c r="E3" s="35">
        <v>1</v>
      </c>
      <c r="F3" s="46" t="s">
        <v>759</v>
      </c>
      <c r="G3" s="75">
        <v>1</v>
      </c>
      <c r="H3" s="76" t="s">
        <v>14</v>
      </c>
      <c r="I3" s="51">
        <v>85</v>
      </c>
      <c r="J3" s="51">
        <v>85</v>
      </c>
      <c r="K3" s="82">
        <v>3.3</v>
      </c>
      <c r="L3" s="82">
        <v>0.6</v>
      </c>
      <c r="M3" s="82">
        <v>0.3</v>
      </c>
      <c r="N3" s="38" t="s">
        <v>85</v>
      </c>
    </row>
    <row r="4" spans="1:16" s="8" customFormat="1" ht="20.399999999999999" x14ac:dyDescent="0.25">
      <c r="A4" s="140" t="s">
        <v>173</v>
      </c>
      <c r="B4" s="140" t="s">
        <v>161</v>
      </c>
      <c r="C4" s="34" t="s">
        <v>21</v>
      </c>
      <c r="D4" s="35" t="s">
        <v>166</v>
      </c>
      <c r="E4" s="35">
        <v>1</v>
      </c>
      <c r="F4" s="46" t="s">
        <v>168</v>
      </c>
      <c r="G4" s="75">
        <v>1</v>
      </c>
      <c r="H4" s="76" t="s">
        <v>14</v>
      </c>
      <c r="I4" s="51">
        <v>15500</v>
      </c>
      <c r="J4" s="51">
        <v>15500</v>
      </c>
      <c r="K4" s="82">
        <v>3.06</v>
      </c>
      <c r="L4" s="82">
        <v>4.03</v>
      </c>
      <c r="M4" s="82">
        <v>4.03</v>
      </c>
      <c r="N4" s="38" t="s">
        <v>125</v>
      </c>
    </row>
    <row r="5" spans="1:16" s="8" customFormat="1" ht="20.399999999999999" x14ac:dyDescent="0.25">
      <c r="A5" s="140" t="s">
        <v>173</v>
      </c>
      <c r="B5" s="140" t="s">
        <v>161</v>
      </c>
      <c r="C5" s="34" t="s">
        <v>21</v>
      </c>
      <c r="D5" s="35" t="s">
        <v>166</v>
      </c>
      <c r="E5" s="35">
        <v>1</v>
      </c>
      <c r="F5" s="46" t="s">
        <v>169</v>
      </c>
      <c r="G5" s="75">
        <v>1</v>
      </c>
      <c r="H5" s="76" t="s">
        <v>14</v>
      </c>
      <c r="I5" s="51">
        <v>7200</v>
      </c>
      <c r="J5" s="51">
        <v>7200</v>
      </c>
      <c r="K5" s="82">
        <v>1.89</v>
      </c>
      <c r="L5" s="82">
        <v>4.03</v>
      </c>
      <c r="M5" s="82">
        <v>4.03</v>
      </c>
      <c r="N5" s="38" t="s">
        <v>125</v>
      </c>
    </row>
    <row r="6" spans="1:16" s="8" customFormat="1" ht="20.399999999999999" x14ac:dyDescent="0.25">
      <c r="A6" s="140" t="s">
        <v>173</v>
      </c>
      <c r="B6" s="140" t="s">
        <v>161</v>
      </c>
      <c r="C6" s="34" t="s">
        <v>21</v>
      </c>
      <c r="D6" s="35" t="s">
        <v>166</v>
      </c>
      <c r="E6" s="35">
        <v>1</v>
      </c>
      <c r="F6" s="46" t="s">
        <v>170</v>
      </c>
      <c r="G6" s="75">
        <v>1</v>
      </c>
      <c r="H6" s="76" t="s">
        <v>14</v>
      </c>
      <c r="I6" s="51">
        <v>13000</v>
      </c>
      <c r="J6" s="51">
        <v>13000</v>
      </c>
      <c r="K6" s="82">
        <v>3.22</v>
      </c>
      <c r="L6" s="82">
        <v>4.03</v>
      </c>
      <c r="M6" s="82">
        <v>4.03</v>
      </c>
      <c r="N6" s="38" t="s">
        <v>125</v>
      </c>
    </row>
    <row r="7" spans="1:16" s="8" customFormat="1" ht="20.399999999999999" x14ac:dyDescent="0.25">
      <c r="A7" s="140" t="s">
        <v>173</v>
      </c>
      <c r="B7" s="140" t="s">
        <v>161</v>
      </c>
      <c r="C7" s="34" t="s">
        <v>21</v>
      </c>
      <c r="D7" s="35" t="s">
        <v>166</v>
      </c>
      <c r="E7" s="35">
        <v>1</v>
      </c>
      <c r="F7" s="46" t="s">
        <v>171</v>
      </c>
      <c r="G7" s="75">
        <v>1</v>
      </c>
      <c r="H7" s="76" t="s">
        <v>14</v>
      </c>
      <c r="I7" s="51">
        <v>540</v>
      </c>
      <c r="J7" s="51">
        <v>540</v>
      </c>
      <c r="K7" s="82">
        <v>8.01</v>
      </c>
      <c r="L7" s="82">
        <v>0.4</v>
      </c>
      <c r="M7" s="82">
        <v>0.5</v>
      </c>
      <c r="N7" s="38" t="s">
        <v>125</v>
      </c>
    </row>
    <row r="8" spans="1:16" s="8" customFormat="1" ht="26.4" x14ac:dyDescent="0.25">
      <c r="A8" s="140" t="s">
        <v>173</v>
      </c>
      <c r="B8" s="140" t="s">
        <v>161</v>
      </c>
      <c r="C8" s="34" t="s">
        <v>21</v>
      </c>
      <c r="D8" s="35" t="s">
        <v>166</v>
      </c>
      <c r="E8" s="35">
        <v>1</v>
      </c>
      <c r="F8" s="46" t="s">
        <v>172</v>
      </c>
      <c r="G8" s="75">
        <v>1</v>
      </c>
      <c r="H8" s="76" t="s">
        <v>14</v>
      </c>
      <c r="I8" s="51">
        <v>950</v>
      </c>
      <c r="J8" s="51">
        <v>950</v>
      </c>
      <c r="K8" s="82">
        <v>0.6</v>
      </c>
      <c r="L8" s="82">
        <v>0.85</v>
      </c>
      <c r="M8" s="82">
        <v>0.85</v>
      </c>
      <c r="N8" s="38" t="s">
        <v>167</v>
      </c>
    </row>
    <row r="9" spans="1:16" s="8" customFormat="1" ht="20.399999999999999" x14ac:dyDescent="0.25">
      <c r="A9" s="140" t="s">
        <v>173</v>
      </c>
      <c r="B9" s="140" t="s">
        <v>161</v>
      </c>
      <c r="C9" s="34" t="s">
        <v>21</v>
      </c>
      <c r="D9" s="35" t="s">
        <v>166</v>
      </c>
      <c r="E9" s="35">
        <v>1</v>
      </c>
      <c r="F9" s="46" t="s">
        <v>180</v>
      </c>
      <c r="G9" s="75">
        <v>1</v>
      </c>
      <c r="H9" s="76" t="s">
        <v>14</v>
      </c>
      <c r="I9" s="51">
        <v>1030</v>
      </c>
      <c r="J9" s="51">
        <v>1030</v>
      </c>
      <c r="K9" s="82">
        <v>4.13</v>
      </c>
      <c r="L9" s="82">
        <v>0.2</v>
      </c>
      <c r="M9" s="82">
        <v>0.2</v>
      </c>
      <c r="N9" s="38" t="s">
        <v>125</v>
      </c>
    </row>
    <row r="10" spans="1:16" s="8" customFormat="1" ht="20.399999999999999" x14ac:dyDescent="0.25">
      <c r="A10" s="140" t="s">
        <v>173</v>
      </c>
      <c r="B10" s="140" t="s">
        <v>161</v>
      </c>
      <c r="C10" s="34" t="s">
        <v>21</v>
      </c>
      <c r="D10" s="35" t="s">
        <v>166</v>
      </c>
      <c r="E10" s="35">
        <v>1</v>
      </c>
      <c r="F10" s="46" t="s">
        <v>180</v>
      </c>
      <c r="G10" s="75">
        <v>1</v>
      </c>
      <c r="H10" s="76" t="s">
        <v>14</v>
      </c>
      <c r="I10" s="51">
        <v>1340</v>
      </c>
      <c r="J10" s="51">
        <v>1340</v>
      </c>
      <c r="K10" s="82">
        <v>5.37</v>
      </c>
      <c r="L10" s="82">
        <v>0.2</v>
      </c>
      <c r="M10" s="82">
        <v>0.2</v>
      </c>
      <c r="N10" s="38" t="s">
        <v>125</v>
      </c>
    </row>
    <row r="11" spans="1:16" s="8" customFormat="1" ht="52.8" x14ac:dyDescent="0.25">
      <c r="A11" s="140" t="s">
        <v>173</v>
      </c>
      <c r="B11" s="140" t="s">
        <v>161</v>
      </c>
      <c r="C11" s="34" t="s">
        <v>21</v>
      </c>
      <c r="D11" s="35" t="s">
        <v>166</v>
      </c>
      <c r="E11" s="35">
        <v>1</v>
      </c>
      <c r="F11" s="46" t="s">
        <v>955</v>
      </c>
      <c r="G11" s="75">
        <v>1</v>
      </c>
      <c r="H11" s="76" t="s">
        <v>14</v>
      </c>
      <c r="I11" s="51">
        <v>4339</v>
      </c>
      <c r="J11" s="51">
        <v>4339</v>
      </c>
      <c r="K11" s="82">
        <v>3.5</v>
      </c>
      <c r="L11" s="82">
        <v>2</v>
      </c>
      <c r="M11" s="82">
        <v>2.5</v>
      </c>
      <c r="N11" s="38" t="s">
        <v>85</v>
      </c>
    </row>
    <row r="12" spans="1:16" s="8" customFormat="1" ht="20.399999999999999" x14ac:dyDescent="0.25">
      <c r="A12" s="140" t="s">
        <v>173</v>
      </c>
      <c r="B12" s="140" t="s">
        <v>161</v>
      </c>
      <c r="C12" s="34" t="s">
        <v>18</v>
      </c>
      <c r="D12" s="35" t="s">
        <v>166</v>
      </c>
      <c r="E12" s="35">
        <v>1</v>
      </c>
      <c r="F12" s="46" t="s">
        <v>174</v>
      </c>
      <c r="G12" s="75">
        <v>4</v>
      </c>
      <c r="H12" s="76" t="s">
        <v>14</v>
      </c>
      <c r="I12" s="51">
        <v>420</v>
      </c>
      <c r="J12" s="51">
        <v>440</v>
      </c>
      <c r="K12" s="82">
        <v>1.2</v>
      </c>
      <c r="L12" s="82">
        <v>1</v>
      </c>
      <c r="M12" s="82">
        <v>0.45</v>
      </c>
      <c r="N12" s="38" t="s">
        <v>85</v>
      </c>
    </row>
    <row r="13" spans="1:16" s="8" customFormat="1" ht="20.399999999999999" x14ac:dyDescent="0.25">
      <c r="A13" s="140" t="s">
        <v>173</v>
      </c>
      <c r="B13" s="140" t="s">
        <v>161</v>
      </c>
      <c r="C13" s="34" t="s">
        <v>18</v>
      </c>
      <c r="D13" s="35" t="s">
        <v>166</v>
      </c>
      <c r="E13" s="35">
        <v>1</v>
      </c>
      <c r="F13" s="46" t="s">
        <v>175</v>
      </c>
      <c r="G13" s="75">
        <v>4</v>
      </c>
      <c r="H13" s="76" t="s">
        <v>14</v>
      </c>
      <c r="I13" s="51">
        <v>220</v>
      </c>
      <c r="J13" s="51">
        <v>440</v>
      </c>
      <c r="K13" s="82">
        <v>1.2</v>
      </c>
      <c r="L13" s="82">
        <v>1</v>
      </c>
      <c r="M13" s="82">
        <v>0.65</v>
      </c>
      <c r="N13" s="38" t="s">
        <v>85</v>
      </c>
    </row>
    <row r="14" spans="1:16" s="8" customFormat="1" ht="20.399999999999999" x14ac:dyDescent="0.25">
      <c r="A14" s="140" t="s">
        <v>173</v>
      </c>
      <c r="B14" s="140" t="s">
        <v>161</v>
      </c>
      <c r="C14" s="34" t="s">
        <v>18</v>
      </c>
      <c r="D14" s="35" t="s">
        <v>166</v>
      </c>
      <c r="E14" s="35">
        <v>1</v>
      </c>
      <c r="F14" s="46" t="s">
        <v>176</v>
      </c>
      <c r="G14" s="75">
        <v>1</v>
      </c>
      <c r="H14" s="76" t="s">
        <v>14</v>
      </c>
      <c r="I14" s="51">
        <v>800</v>
      </c>
      <c r="J14" s="51">
        <v>830</v>
      </c>
      <c r="K14" s="82">
        <v>1.2</v>
      </c>
      <c r="L14" s="82">
        <v>0.86</v>
      </c>
      <c r="M14" s="82">
        <v>1</v>
      </c>
      <c r="N14" s="38" t="s">
        <v>85</v>
      </c>
    </row>
    <row r="15" spans="1:16" s="8" customFormat="1" ht="20.399999999999999" x14ac:dyDescent="0.25">
      <c r="A15" s="140" t="s">
        <v>173</v>
      </c>
      <c r="B15" s="140" t="s">
        <v>161</v>
      </c>
      <c r="C15" s="34" t="s">
        <v>18</v>
      </c>
      <c r="D15" s="35" t="s">
        <v>166</v>
      </c>
      <c r="E15" s="35">
        <v>1</v>
      </c>
      <c r="F15" s="46" t="s">
        <v>178</v>
      </c>
      <c r="G15" s="75">
        <v>2</v>
      </c>
      <c r="H15" s="76" t="s">
        <v>14</v>
      </c>
      <c r="I15" s="51">
        <v>440</v>
      </c>
      <c r="J15" s="51">
        <v>459</v>
      </c>
      <c r="K15" s="82">
        <v>1.9</v>
      </c>
      <c r="L15" s="82">
        <v>0.55000000000000004</v>
      </c>
      <c r="M15" s="82">
        <v>0.55000000000000004</v>
      </c>
      <c r="N15" s="38" t="s">
        <v>177</v>
      </c>
    </row>
    <row r="16" spans="1:16" s="8" customFormat="1" ht="20.399999999999999" x14ac:dyDescent="0.25">
      <c r="A16" s="140" t="s">
        <v>173</v>
      </c>
      <c r="B16" s="140" t="s">
        <v>161</v>
      </c>
      <c r="C16" s="34" t="s">
        <v>18</v>
      </c>
      <c r="D16" s="35" t="s">
        <v>166</v>
      </c>
      <c r="E16" s="35">
        <v>1</v>
      </c>
      <c r="F16" s="46" t="s">
        <v>179</v>
      </c>
      <c r="G16" s="75">
        <v>2</v>
      </c>
      <c r="H16" s="76" t="s">
        <v>14</v>
      </c>
      <c r="I16" s="51">
        <v>360</v>
      </c>
      <c r="J16" s="51">
        <v>379</v>
      </c>
      <c r="K16" s="82">
        <v>1.9</v>
      </c>
      <c r="L16" s="82">
        <v>0.55000000000000004</v>
      </c>
      <c r="M16" s="82">
        <v>0.35</v>
      </c>
      <c r="N16" s="38" t="s">
        <v>177</v>
      </c>
    </row>
    <row r="17" spans="1:14" s="142" customFormat="1" ht="52.8" x14ac:dyDescent="0.25">
      <c r="A17" s="140" t="s">
        <v>160</v>
      </c>
      <c r="B17" s="140" t="s">
        <v>377</v>
      </c>
      <c r="C17" s="34" t="s">
        <v>21</v>
      </c>
      <c r="D17" s="35" t="s">
        <v>107</v>
      </c>
      <c r="E17" s="35">
        <v>1</v>
      </c>
      <c r="F17" s="46" t="s">
        <v>956</v>
      </c>
      <c r="G17" s="75">
        <v>1</v>
      </c>
      <c r="H17" s="73" t="s">
        <v>14</v>
      </c>
      <c r="I17" s="48">
        <v>4300</v>
      </c>
      <c r="J17" s="48">
        <v>4300</v>
      </c>
      <c r="K17" s="82">
        <v>3.3</v>
      </c>
      <c r="L17" s="82">
        <v>1.1599999999999999</v>
      </c>
      <c r="M17" s="82">
        <v>2.06</v>
      </c>
      <c r="N17" s="36" t="s">
        <v>85</v>
      </c>
    </row>
    <row r="18" spans="1:14" s="142" customFormat="1" ht="52.8" x14ac:dyDescent="0.25">
      <c r="A18" s="140" t="s">
        <v>160</v>
      </c>
      <c r="B18" s="140" t="s">
        <v>377</v>
      </c>
      <c r="C18" s="34" t="s">
        <v>21</v>
      </c>
      <c r="D18" s="35" t="s">
        <v>107</v>
      </c>
      <c r="E18" s="35">
        <v>1</v>
      </c>
      <c r="F18" s="46" t="s">
        <v>956</v>
      </c>
      <c r="G18" s="75">
        <v>1</v>
      </c>
      <c r="H18" s="73" t="s">
        <v>14</v>
      </c>
      <c r="I18" s="48">
        <v>4520</v>
      </c>
      <c r="J18" s="48">
        <v>4520</v>
      </c>
      <c r="K18" s="82">
        <v>3.3</v>
      </c>
      <c r="L18" s="82">
        <v>1.1599999999999999</v>
      </c>
      <c r="M18" s="82">
        <v>2.06</v>
      </c>
      <c r="N18" s="36" t="s">
        <v>85</v>
      </c>
    </row>
    <row r="19" spans="1:14" s="142" customFormat="1" ht="20.399999999999999" x14ac:dyDescent="0.25">
      <c r="A19" s="140" t="s">
        <v>160</v>
      </c>
      <c r="B19" s="140" t="s">
        <v>377</v>
      </c>
      <c r="C19" s="35" t="s">
        <v>18</v>
      </c>
      <c r="D19" s="35" t="s">
        <v>107</v>
      </c>
      <c r="E19" s="35">
        <v>1</v>
      </c>
      <c r="F19" s="46" t="s">
        <v>491</v>
      </c>
      <c r="G19" s="128">
        <v>1</v>
      </c>
      <c r="H19" s="129" t="s">
        <v>14</v>
      </c>
      <c r="I19" s="48">
        <v>915</v>
      </c>
      <c r="J19" s="48">
        <v>930</v>
      </c>
      <c r="K19" s="82">
        <v>0.82</v>
      </c>
      <c r="L19" s="82">
        <v>0.81</v>
      </c>
      <c r="M19" s="82">
        <v>0.84</v>
      </c>
      <c r="N19" s="36" t="s">
        <v>85</v>
      </c>
    </row>
    <row r="20" spans="1:14" s="142" customFormat="1" ht="26.4" x14ac:dyDescent="0.25">
      <c r="A20" s="140" t="s">
        <v>448</v>
      </c>
      <c r="B20" s="140" t="s">
        <v>426</v>
      </c>
      <c r="C20" s="34" t="s">
        <v>21</v>
      </c>
      <c r="D20" s="35" t="s">
        <v>481</v>
      </c>
      <c r="E20" s="35">
        <v>1</v>
      </c>
      <c r="F20" s="46" t="s">
        <v>484</v>
      </c>
      <c r="G20" s="75">
        <v>1</v>
      </c>
      <c r="H20" s="73" t="s">
        <v>14</v>
      </c>
      <c r="I20" s="51">
        <v>11320</v>
      </c>
      <c r="J20" s="51">
        <v>11320</v>
      </c>
      <c r="K20" s="82">
        <v>5.12</v>
      </c>
      <c r="L20" s="82">
        <v>2.61</v>
      </c>
      <c r="M20" s="82">
        <v>2.86</v>
      </c>
      <c r="N20" s="36" t="s">
        <v>452</v>
      </c>
    </row>
    <row r="21" spans="1:14" s="142" customFormat="1" ht="20.399999999999999" x14ac:dyDescent="0.25">
      <c r="A21" s="140" t="s">
        <v>448</v>
      </c>
      <c r="B21" s="140" t="s">
        <v>426</v>
      </c>
      <c r="C21" s="34" t="s">
        <v>21</v>
      </c>
      <c r="D21" s="35" t="s">
        <v>482</v>
      </c>
      <c r="E21" s="35">
        <v>1</v>
      </c>
      <c r="F21" s="46" t="s">
        <v>483</v>
      </c>
      <c r="G21" s="128">
        <v>1</v>
      </c>
      <c r="H21" s="129" t="s">
        <v>14</v>
      </c>
      <c r="I21" s="51">
        <v>11740</v>
      </c>
      <c r="J21" s="51">
        <v>11740</v>
      </c>
      <c r="K21" s="82">
        <v>5.38</v>
      </c>
      <c r="L21" s="82">
        <v>2.91</v>
      </c>
      <c r="M21" s="82">
        <v>2.72</v>
      </c>
      <c r="N21" s="36" t="s">
        <v>452</v>
      </c>
    </row>
    <row r="22" spans="1:14" s="142" customFormat="1" ht="20.399999999999999" x14ac:dyDescent="0.25">
      <c r="A22" s="140" t="s">
        <v>160</v>
      </c>
      <c r="B22" s="140" t="s">
        <v>750</v>
      </c>
      <c r="C22" s="34" t="s">
        <v>21</v>
      </c>
      <c r="D22" s="35"/>
      <c r="E22" s="35">
        <v>1</v>
      </c>
      <c r="F22" s="46" t="s">
        <v>756</v>
      </c>
      <c r="G22" s="75">
        <v>1</v>
      </c>
      <c r="H22" s="73" t="s">
        <v>14</v>
      </c>
      <c r="I22" s="48">
        <v>40550</v>
      </c>
      <c r="J22" s="48">
        <v>40550</v>
      </c>
      <c r="K22" s="82">
        <v>9.5</v>
      </c>
      <c r="L22" s="82">
        <v>3.75</v>
      </c>
      <c r="M22" s="82">
        <v>3.91</v>
      </c>
      <c r="N22" s="36" t="s">
        <v>452</v>
      </c>
    </row>
    <row r="23" spans="1:14" s="142" customFormat="1" ht="20.399999999999999" x14ac:dyDescent="0.25">
      <c r="A23" s="140" t="s">
        <v>757</v>
      </c>
      <c r="B23" s="140" t="s">
        <v>750</v>
      </c>
      <c r="C23" s="34" t="s">
        <v>21</v>
      </c>
      <c r="D23" s="35"/>
      <c r="E23" s="35">
        <v>1</v>
      </c>
      <c r="F23" s="46" t="s">
        <v>748</v>
      </c>
      <c r="G23" s="75">
        <v>1</v>
      </c>
      <c r="H23" s="73" t="s">
        <v>14</v>
      </c>
      <c r="I23" s="48">
        <v>410</v>
      </c>
      <c r="J23" s="48">
        <v>410</v>
      </c>
      <c r="K23" s="82">
        <v>8.15</v>
      </c>
      <c r="L23" s="82">
        <v>0.75</v>
      </c>
      <c r="M23" s="82">
        <v>0.4</v>
      </c>
      <c r="N23" s="36" t="s">
        <v>85</v>
      </c>
    </row>
    <row r="24" spans="1:14" s="142" customFormat="1" ht="66" x14ac:dyDescent="0.25">
      <c r="A24" s="140" t="s">
        <v>160</v>
      </c>
      <c r="B24" s="140" t="s">
        <v>750</v>
      </c>
      <c r="C24" s="34" t="s">
        <v>21</v>
      </c>
      <c r="D24" s="35"/>
      <c r="E24" s="35">
        <v>1</v>
      </c>
      <c r="F24" s="46" t="s">
        <v>957</v>
      </c>
      <c r="G24" s="75">
        <v>5</v>
      </c>
      <c r="H24" s="73" t="s">
        <v>14</v>
      </c>
      <c r="I24" s="48">
        <v>4780</v>
      </c>
      <c r="J24" s="48">
        <v>4780</v>
      </c>
      <c r="K24" s="82">
        <v>3.3</v>
      </c>
      <c r="L24" s="82">
        <v>1.2</v>
      </c>
      <c r="M24" s="82">
        <v>2.2000000000000002</v>
      </c>
      <c r="N24" s="36" t="s">
        <v>85</v>
      </c>
    </row>
    <row r="25" spans="1:14" s="142" customFormat="1" ht="20.399999999999999" x14ac:dyDescent="0.25">
      <c r="A25" s="140" t="s">
        <v>160</v>
      </c>
      <c r="B25" s="140" t="s">
        <v>750</v>
      </c>
      <c r="C25" s="34" t="s">
        <v>18</v>
      </c>
      <c r="D25" s="35"/>
      <c r="E25" s="35">
        <v>1</v>
      </c>
      <c r="F25" s="46" t="s">
        <v>749</v>
      </c>
      <c r="G25" s="128">
        <v>1</v>
      </c>
      <c r="H25" s="129" t="s">
        <v>14</v>
      </c>
      <c r="I25" s="48">
        <v>410</v>
      </c>
      <c r="J25" s="48">
        <v>435</v>
      </c>
      <c r="K25" s="82">
        <v>0.88</v>
      </c>
      <c r="L25" s="82">
        <v>0.87</v>
      </c>
      <c r="M25" s="82">
        <v>0.53</v>
      </c>
      <c r="N25" s="36" t="s">
        <v>85</v>
      </c>
    </row>
    <row r="26" spans="1:14" s="142" customFormat="1" ht="20.399999999999999" x14ac:dyDescent="0.25">
      <c r="A26" s="140" t="s">
        <v>160</v>
      </c>
      <c r="B26" s="140" t="s">
        <v>750</v>
      </c>
      <c r="C26" s="34" t="s">
        <v>21</v>
      </c>
      <c r="D26" s="35"/>
      <c r="E26" s="35">
        <v>1</v>
      </c>
      <c r="F26" s="46" t="s">
        <v>751</v>
      </c>
      <c r="G26" s="75">
        <v>1</v>
      </c>
      <c r="H26" s="73" t="s">
        <v>14</v>
      </c>
      <c r="I26" s="48">
        <v>115</v>
      </c>
      <c r="J26" s="48">
        <v>115</v>
      </c>
      <c r="K26" s="82">
        <v>1</v>
      </c>
      <c r="L26" s="82">
        <v>0.9</v>
      </c>
      <c r="M26" s="82">
        <v>0.75</v>
      </c>
      <c r="N26" s="36" t="s">
        <v>85</v>
      </c>
    </row>
    <row r="27" spans="1:14" s="142" customFormat="1" ht="20.399999999999999" x14ac:dyDescent="0.25">
      <c r="A27" s="140" t="s">
        <v>87</v>
      </c>
      <c r="B27" s="140" t="s">
        <v>762</v>
      </c>
      <c r="C27" s="34" t="s">
        <v>21</v>
      </c>
      <c r="D27" s="35"/>
      <c r="E27" s="35">
        <v>1</v>
      </c>
      <c r="F27" s="46" t="s">
        <v>760</v>
      </c>
      <c r="G27" s="75">
        <v>1</v>
      </c>
      <c r="H27" s="73" t="s">
        <v>14</v>
      </c>
      <c r="I27" s="48">
        <v>24550</v>
      </c>
      <c r="J27" s="48">
        <v>24550</v>
      </c>
      <c r="K27" s="82">
        <v>7.65</v>
      </c>
      <c r="L27" s="82">
        <v>3.21</v>
      </c>
      <c r="M27" s="82">
        <v>3.48</v>
      </c>
      <c r="N27" s="36" t="s">
        <v>452</v>
      </c>
    </row>
    <row r="28" spans="1:14" s="142" customFormat="1" ht="20.399999999999999" x14ac:dyDescent="0.25">
      <c r="A28" s="140" t="s">
        <v>87</v>
      </c>
      <c r="B28" s="140" t="s">
        <v>762</v>
      </c>
      <c r="C28" s="34" t="s">
        <v>21</v>
      </c>
      <c r="D28" s="35"/>
      <c r="E28" s="35">
        <v>1</v>
      </c>
      <c r="F28" s="46" t="s">
        <v>761</v>
      </c>
      <c r="G28" s="75">
        <v>1</v>
      </c>
      <c r="H28" s="73" t="s">
        <v>14</v>
      </c>
      <c r="I28" s="48">
        <v>630</v>
      </c>
      <c r="J28" s="48">
        <v>630</v>
      </c>
      <c r="K28" s="82">
        <v>3.15</v>
      </c>
      <c r="L28" s="82">
        <v>0.25</v>
      </c>
      <c r="M28" s="82">
        <v>0.41</v>
      </c>
      <c r="N28" s="36" t="s">
        <v>85</v>
      </c>
    </row>
    <row r="29" spans="1:14" s="142" customFormat="1" ht="20.399999999999999" x14ac:dyDescent="0.25">
      <c r="A29" s="140" t="s">
        <v>87</v>
      </c>
      <c r="B29" s="140" t="s">
        <v>762</v>
      </c>
      <c r="C29" s="34" t="s">
        <v>21</v>
      </c>
      <c r="D29" s="35"/>
      <c r="E29" s="35">
        <v>1</v>
      </c>
      <c r="F29" s="46" t="s">
        <v>763</v>
      </c>
      <c r="G29" s="75">
        <v>1</v>
      </c>
      <c r="H29" s="73" t="s">
        <v>14</v>
      </c>
      <c r="I29" s="48">
        <v>268</v>
      </c>
      <c r="J29" s="48">
        <v>268</v>
      </c>
      <c r="K29" s="82">
        <v>6.11</v>
      </c>
      <c r="L29" s="82">
        <v>0.65</v>
      </c>
      <c r="M29" s="82">
        <v>0.4</v>
      </c>
      <c r="N29" s="36" t="s">
        <v>85</v>
      </c>
    </row>
    <row r="30" spans="1:14" s="142" customFormat="1" ht="66" x14ac:dyDescent="0.25">
      <c r="A30" s="140" t="s">
        <v>87</v>
      </c>
      <c r="B30" s="140" t="s">
        <v>762</v>
      </c>
      <c r="C30" s="34" t="s">
        <v>21</v>
      </c>
      <c r="D30" s="35"/>
      <c r="E30" s="35">
        <v>1</v>
      </c>
      <c r="F30" s="46" t="s">
        <v>1044</v>
      </c>
      <c r="G30" s="75">
        <v>5</v>
      </c>
      <c r="H30" s="73" t="s">
        <v>14</v>
      </c>
      <c r="I30" s="48">
        <v>2025</v>
      </c>
      <c r="J30" s="48">
        <v>2025</v>
      </c>
      <c r="K30" s="82">
        <v>2.2999999999999998</v>
      </c>
      <c r="L30" s="82">
        <v>0.95</v>
      </c>
      <c r="M30" s="82">
        <v>1.65</v>
      </c>
      <c r="N30" s="36" t="s">
        <v>85</v>
      </c>
    </row>
    <row r="31" spans="1:14" s="142" customFormat="1" ht="20.399999999999999" x14ac:dyDescent="0.25">
      <c r="A31" s="140" t="s">
        <v>87</v>
      </c>
      <c r="B31" s="140" t="s">
        <v>762</v>
      </c>
      <c r="C31" s="34" t="s">
        <v>20</v>
      </c>
      <c r="D31" s="35"/>
      <c r="E31" s="35">
        <v>1</v>
      </c>
      <c r="F31" s="46" t="s">
        <v>764</v>
      </c>
      <c r="G31" s="128">
        <v>1</v>
      </c>
      <c r="H31" s="129" t="s">
        <v>14</v>
      </c>
      <c r="I31" s="48">
        <v>120</v>
      </c>
      <c r="J31" s="48">
        <v>130</v>
      </c>
      <c r="K31" s="82">
        <v>0.6</v>
      </c>
      <c r="L31" s="82">
        <v>0.6</v>
      </c>
      <c r="M31" s="82">
        <v>0.44</v>
      </c>
      <c r="N31" s="36" t="s">
        <v>85</v>
      </c>
    </row>
    <row r="32" spans="1:14" s="142" customFormat="1" ht="20.399999999999999" x14ac:dyDescent="0.25">
      <c r="A32" s="140" t="s">
        <v>160</v>
      </c>
      <c r="B32" s="140" t="s">
        <v>771</v>
      </c>
      <c r="C32" s="34" t="s">
        <v>21</v>
      </c>
      <c r="D32" s="35"/>
      <c r="E32" s="35">
        <v>1</v>
      </c>
      <c r="F32" s="46" t="s">
        <v>772</v>
      </c>
      <c r="G32" s="75">
        <v>1</v>
      </c>
      <c r="H32" s="73" t="s">
        <v>14</v>
      </c>
      <c r="I32" s="48">
        <v>40550</v>
      </c>
      <c r="J32" s="48">
        <v>40550</v>
      </c>
      <c r="K32" s="82">
        <v>9.9</v>
      </c>
      <c r="L32" s="82">
        <v>3.91</v>
      </c>
      <c r="M32" s="82">
        <v>4.05</v>
      </c>
      <c r="N32" s="36" t="s">
        <v>452</v>
      </c>
    </row>
    <row r="33" spans="1:14" s="142" customFormat="1" ht="20.399999999999999" x14ac:dyDescent="0.25">
      <c r="A33" s="140" t="s">
        <v>160</v>
      </c>
      <c r="B33" s="140" t="s">
        <v>771</v>
      </c>
      <c r="C33" s="34" t="s">
        <v>21</v>
      </c>
      <c r="D33" s="35"/>
      <c r="E33" s="35">
        <v>1</v>
      </c>
      <c r="F33" s="46" t="s">
        <v>773</v>
      </c>
      <c r="G33" s="75">
        <v>1</v>
      </c>
      <c r="H33" s="73" t="s">
        <v>14</v>
      </c>
      <c r="I33" s="48">
        <v>425</v>
      </c>
      <c r="J33" s="48">
        <v>425</v>
      </c>
      <c r="K33" s="82">
        <v>3.65</v>
      </c>
      <c r="L33" s="82">
        <v>0.3</v>
      </c>
      <c r="M33" s="82">
        <v>0.65</v>
      </c>
      <c r="N33" s="36" t="s">
        <v>85</v>
      </c>
    </row>
    <row r="34" spans="1:14" s="142" customFormat="1" ht="20.399999999999999" x14ac:dyDescent="0.25">
      <c r="A34" s="140" t="s">
        <v>160</v>
      </c>
      <c r="B34" s="140" t="s">
        <v>771</v>
      </c>
      <c r="C34" s="34" t="s">
        <v>21</v>
      </c>
      <c r="D34" s="35"/>
      <c r="E34" s="35">
        <v>1</v>
      </c>
      <c r="F34" s="46" t="s">
        <v>774</v>
      </c>
      <c r="G34" s="75">
        <v>1</v>
      </c>
      <c r="H34" s="73" t="s">
        <v>14</v>
      </c>
      <c r="I34" s="48">
        <v>290</v>
      </c>
      <c r="J34" s="48">
        <v>290</v>
      </c>
      <c r="K34" s="82">
        <v>7</v>
      </c>
      <c r="L34" s="82">
        <v>0.75</v>
      </c>
      <c r="M34" s="82">
        <v>0.4</v>
      </c>
      <c r="N34" s="36" t="s">
        <v>85</v>
      </c>
    </row>
    <row r="35" spans="1:14" s="142" customFormat="1" ht="66" x14ac:dyDescent="0.25">
      <c r="A35" s="140" t="s">
        <v>160</v>
      </c>
      <c r="B35" s="140" t="s">
        <v>771</v>
      </c>
      <c r="C35" s="34" t="s">
        <v>21</v>
      </c>
      <c r="D35" s="35"/>
      <c r="E35" s="35">
        <v>1</v>
      </c>
      <c r="F35" s="46" t="s">
        <v>958</v>
      </c>
      <c r="G35" s="75">
        <v>5</v>
      </c>
      <c r="H35" s="73" t="s">
        <v>14</v>
      </c>
      <c r="I35" s="48">
        <v>4360</v>
      </c>
      <c r="J35" s="48">
        <v>4360</v>
      </c>
      <c r="K35" s="82">
        <v>3.1</v>
      </c>
      <c r="L35" s="82">
        <v>1.2</v>
      </c>
      <c r="M35" s="82">
        <v>1.4</v>
      </c>
      <c r="N35" s="36" t="s">
        <v>85</v>
      </c>
    </row>
    <row r="36" spans="1:14" s="142" customFormat="1" ht="20.399999999999999" x14ac:dyDescent="0.25">
      <c r="A36" s="140" t="s">
        <v>160</v>
      </c>
      <c r="B36" s="140" t="s">
        <v>771</v>
      </c>
      <c r="C36" s="34" t="s">
        <v>18</v>
      </c>
      <c r="D36" s="35"/>
      <c r="E36" s="35">
        <v>1</v>
      </c>
      <c r="F36" s="46" t="s">
        <v>775</v>
      </c>
      <c r="G36" s="128">
        <v>1</v>
      </c>
      <c r="H36" s="129" t="s">
        <v>14</v>
      </c>
      <c r="I36" s="48">
        <v>410</v>
      </c>
      <c r="J36" s="48">
        <v>435</v>
      </c>
      <c r="K36" s="82">
        <v>0.88</v>
      </c>
      <c r="L36" s="82">
        <v>0.87</v>
      </c>
      <c r="M36" s="82">
        <v>0.53</v>
      </c>
      <c r="N36" s="36" t="s">
        <v>85</v>
      </c>
    </row>
    <row r="37" spans="1:14" s="142" customFormat="1" ht="20.399999999999999" x14ac:dyDescent="0.25">
      <c r="A37" s="140" t="s">
        <v>160</v>
      </c>
      <c r="B37" s="140" t="s">
        <v>771</v>
      </c>
      <c r="C37" s="34" t="s">
        <v>21</v>
      </c>
      <c r="D37" s="35"/>
      <c r="E37" s="35">
        <v>1</v>
      </c>
      <c r="F37" s="46" t="s">
        <v>776</v>
      </c>
      <c r="G37" s="128">
        <v>1</v>
      </c>
      <c r="H37" s="73" t="s">
        <v>14</v>
      </c>
      <c r="I37" s="48">
        <v>50</v>
      </c>
      <c r="J37" s="48">
        <v>50</v>
      </c>
      <c r="K37" s="82">
        <v>0.82</v>
      </c>
      <c r="L37" s="82">
        <v>0.82</v>
      </c>
      <c r="M37" s="82">
        <v>0.85</v>
      </c>
      <c r="N37" s="36" t="s">
        <v>85</v>
      </c>
    </row>
    <row r="38" spans="1:14" s="142" customFormat="1" ht="20.399999999999999" x14ac:dyDescent="0.25">
      <c r="A38" s="140" t="s">
        <v>160</v>
      </c>
      <c r="B38" s="140" t="s">
        <v>771</v>
      </c>
      <c r="C38" s="34" t="s">
        <v>20</v>
      </c>
      <c r="D38" s="141"/>
      <c r="E38" s="35">
        <v>1</v>
      </c>
      <c r="F38" s="161" t="s">
        <v>793</v>
      </c>
      <c r="G38" s="75">
        <v>4</v>
      </c>
      <c r="H38" s="76" t="s">
        <v>14</v>
      </c>
      <c r="I38" s="51">
        <v>380</v>
      </c>
      <c r="J38" s="51">
        <v>410</v>
      </c>
      <c r="K38" s="82">
        <v>1.2</v>
      </c>
      <c r="L38" s="82">
        <v>1.2</v>
      </c>
      <c r="M38" s="82">
        <v>0.7</v>
      </c>
      <c r="N38" s="36" t="s">
        <v>85</v>
      </c>
    </row>
    <row r="39" spans="1:14" s="142" customFormat="1" ht="20.399999999999999" x14ac:dyDescent="0.25">
      <c r="A39" s="140" t="s">
        <v>160</v>
      </c>
      <c r="B39" s="140" t="s">
        <v>771</v>
      </c>
      <c r="C39" s="34" t="s">
        <v>20</v>
      </c>
      <c r="D39" s="141"/>
      <c r="E39" s="35">
        <v>1</v>
      </c>
      <c r="F39" s="161" t="s">
        <v>793</v>
      </c>
      <c r="G39" s="75">
        <v>4</v>
      </c>
      <c r="H39" s="76" t="s">
        <v>14</v>
      </c>
      <c r="I39" s="51">
        <v>380</v>
      </c>
      <c r="J39" s="51">
        <v>410</v>
      </c>
      <c r="K39" s="82">
        <v>1.2</v>
      </c>
      <c r="L39" s="82">
        <v>1.2</v>
      </c>
      <c r="M39" s="82">
        <v>0.7</v>
      </c>
      <c r="N39" s="36" t="s">
        <v>85</v>
      </c>
    </row>
    <row r="40" spans="1:14" s="142" customFormat="1" ht="20.399999999999999" x14ac:dyDescent="0.25">
      <c r="A40" s="140" t="s">
        <v>160</v>
      </c>
      <c r="B40" s="140" t="s">
        <v>771</v>
      </c>
      <c r="C40" s="34" t="s">
        <v>21</v>
      </c>
      <c r="D40" s="141"/>
      <c r="E40" s="35">
        <v>1</v>
      </c>
      <c r="F40" s="46" t="s">
        <v>777</v>
      </c>
      <c r="G40" s="75">
        <v>1</v>
      </c>
      <c r="H40" s="76" t="s">
        <v>14</v>
      </c>
      <c r="I40" s="51">
        <v>12755</v>
      </c>
      <c r="J40" s="51">
        <v>12755</v>
      </c>
      <c r="K40" s="82">
        <v>5.59</v>
      </c>
      <c r="L40" s="82">
        <v>3.25</v>
      </c>
      <c r="M40" s="82">
        <v>3.2</v>
      </c>
      <c r="N40" s="36" t="s">
        <v>452</v>
      </c>
    </row>
    <row r="41" spans="1:14" s="142" customFormat="1" ht="20.399999999999999" x14ac:dyDescent="0.25">
      <c r="A41" s="140" t="s">
        <v>160</v>
      </c>
      <c r="B41" s="140" t="s">
        <v>771</v>
      </c>
      <c r="C41" s="34" t="s">
        <v>21</v>
      </c>
      <c r="D41" s="141"/>
      <c r="E41" s="35">
        <v>1</v>
      </c>
      <c r="F41" s="46" t="s">
        <v>778</v>
      </c>
      <c r="G41" s="75">
        <v>1</v>
      </c>
      <c r="H41" s="76" t="s">
        <v>14</v>
      </c>
      <c r="I41" s="51">
        <v>32</v>
      </c>
      <c r="J41" s="51">
        <v>32</v>
      </c>
      <c r="K41" s="82">
        <v>1.5</v>
      </c>
      <c r="L41" s="82">
        <v>1.04</v>
      </c>
      <c r="M41" s="82">
        <v>0.3</v>
      </c>
      <c r="N41" s="36" t="s">
        <v>85</v>
      </c>
    </row>
    <row r="42" spans="1:14" s="8" customFormat="1" ht="26.4" x14ac:dyDescent="0.25">
      <c r="A42" s="140" t="s">
        <v>160</v>
      </c>
      <c r="B42" s="140" t="s">
        <v>771</v>
      </c>
      <c r="C42" s="34" t="s">
        <v>21</v>
      </c>
      <c r="D42" s="141"/>
      <c r="E42" s="35">
        <v>1</v>
      </c>
      <c r="F42" s="46" t="s">
        <v>779</v>
      </c>
      <c r="G42" s="75">
        <v>1</v>
      </c>
      <c r="H42" s="76" t="s">
        <v>14</v>
      </c>
      <c r="I42" s="51">
        <v>98</v>
      </c>
      <c r="J42" s="51">
        <v>98</v>
      </c>
      <c r="K42" s="82">
        <v>3.3</v>
      </c>
      <c r="L42" s="82">
        <v>0.75</v>
      </c>
      <c r="M42" s="82">
        <v>0.3</v>
      </c>
      <c r="N42" s="36" t="s">
        <v>85</v>
      </c>
    </row>
    <row r="43" spans="1:14" s="8" customFormat="1" ht="26.4" x14ac:dyDescent="0.25">
      <c r="A43" s="140" t="s">
        <v>160</v>
      </c>
      <c r="B43" s="140" t="s">
        <v>771</v>
      </c>
      <c r="C43" s="34" t="s">
        <v>18</v>
      </c>
      <c r="D43" s="141"/>
      <c r="E43" s="35">
        <v>1</v>
      </c>
      <c r="F43" s="46" t="s">
        <v>780</v>
      </c>
      <c r="G43" s="128">
        <v>2</v>
      </c>
      <c r="H43" s="131" t="s">
        <v>14</v>
      </c>
      <c r="I43" s="51">
        <v>70</v>
      </c>
      <c r="J43" s="51">
        <v>80</v>
      </c>
      <c r="K43" s="82">
        <v>0.8</v>
      </c>
      <c r="L43" s="82">
        <v>0.6</v>
      </c>
      <c r="M43" s="82">
        <v>0.4</v>
      </c>
      <c r="N43" s="36" t="s">
        <v>85</v>
      </c>
    </row>
    <row r="44" spans="1:14" s="9" customFormat="1" ht="26.4" x14ac:dyDescent="0.25">
      <c r="A44" s="140" t="s">
        <v>160</v>
      </c>
      <c r="B44" s="140" t="s">
        <v>771</v>
      </c>
      <c r="C44" s="34" t="s">
        <v>20</v>
      </c>
      <c r="D44" s="141"/>
      <c r="E44" s="35">
        <v>1</v>
      </c>
      <c r="F44" s="46" t="s">
        <v>787</v>
      </c>
      <c r="G44" s="75">
        <v>5</v>
      </c>
      <c r="H44" s="129" t="s">
        <v>14</v>
      </c>
      <c r="I44" s="48">
        <v>335</v>
      </c>
      <c r="J44" s="48">
        <v>365</v>
      </c>
      <c r="K44" s="82">
        <v>1.25</v>
      </c>
      <c r="L44" s="82">
        <v>1.2</v>
      </c>
      <c r="M44" s="82">
        <v>0.5</v>
      </c>
      <c r="N44" s="36" t="s">
        <v>85</v>
      </c>
    </row>
    <row r="45" spans="1:14" s="9" customFormat="1" ht="20.399999999999999" x14ac:dyDescent="0.25">
      <c r="A45" s="140" t="s">
        <v>160</v>
      </c>
      <c r="B45" s="140" t="s">
        <v>771</v>
      </c>
      <c r="C45" s="34" t="s">
        <v>21</v>
      </c>
      <c r="D45" s="141"/>
      <c r="E45" s="35">
        <v>1</v>
      </c>
      <c r="F45" s="46" t="s">
        <v>786</v>
      </c>
      <c r="G45" s="75">
        <v>1</v>
      </c>
      <c r="H45" s="129" t="s">
        <v>14</v>
      </c>
      <c r="I45" s="48">
        <v>525</v>
      </c>
      <c r="J45" s="48">
        <v>525</v>
      </c>
      <c r="K45" s="82">
        <v>4.25</v>
      </c>
      <c r="L45" s="82">
        <v>2.6</v>
      </c>
      <c r="M45" s="82">
        <v>1.9</v>
      </c>
      <c r="N45" s="36" t="s">
        <v>85</v>
      </c>
    </row>
    <row r="46" spans="1:14" s="9" customFormat="1" ht="20.399999999999999" x14ac:dyDescent="0.25">
      <c r="A46" s="140" t="s">
        <v>885</v>
      </c>
      <c r="B46" s="140" t="s">
        <v>886</v>
      </c>
      <c r="C46" s="34" t="s">
        <v>21</v>
      </c>
      <c r="D46" s="35"/>
      <c r="E46" s="35">
        <v>1</v>
      </c>
      <c r="F46" s="46" t="s">
        <v>883</v>
      </c>
      <c r="G46" s="75">
        <v>1</v>
      </c>
      <c r="H46" s="73" t="s">
        <v>14</v>
      </c>
      <c r="I46" s="48">
        <v>45600</v>
      </c>
      <c r="J46" s="48">
        <v>46250</v>
      </c>
      <c r="K46" s="82">
        <v>10.41</v>
      </c>
      <c r="L46" s="82">
        <v>4.1500000000000004</v>
      </c>
      <c r="M46" s="82">
        <v>4.2699999999999996</v>
      </c>
      <c r="N46" s="36" t="s">
        <v>85</v>
      </c>
    </row>
    <row r="47" spans="1:14" s="9" customFormat="1" ht="20.399999999999999" x14ac:dyDescent="0.25">
      <c r="A47" s="140" t="s">
        <v>885</v>
      </c>
      <c r="B47" s="140" t="s">
        <v>886</v>
      </c>
      <c r="C47" s="34" t="s">
        <v>21</v>
      </c>
      <c r="D47" s="35"/>
      <c r="E47" s="35">
        <v>1</v>
      </c>
      <c r="F47" s="46" t="s">
        <v>884</v>
      </c>
      <c r="G47" s="75">
        <v>1</v>
      </c>
      <c r="H47" s="73" t="s">
        <v>14</v>
      </c>
      <c r="I47" s="48">
        <v>445</v>
      </c>
      <c r="J47" s="48">
        <v>445</v>
      </c>
      <c r="K47" s="82">
        <v>3.65</v>
      </c>
      <c r="L47" s="82">
        <v>0.33</v>
      </c>
      <c r="M47" s="82">
        <v>0.65</v>
      </c>
      <c r="N47" s="36" t="s">
        <v>85</v>
      </c>
    </row>
    <row r="48" spans="1:14" s="9" customFormat="1" ht="20.399999999999999" x14ac:dyDescent="0.25">
      <c r="A48" s="140" t="s">
        <v>885</v>
      </c>
      <c r="B48" s="140" t="s">
        <v>886</v>
      </c>
      <c r="C48" s="34" t="s">
        <v>21</v>
      </c>
      <c r="D48" s="35"/>
      <c r="E48" s="35">
        <v>1</v>
      </c>
      <c r="F48" s="46" t="s">
        <v>880</v>
      </c>
      <c r="G48" s="75">
        <v>1</v>
      </c>
      <c r="H48" s="73" t="s">
        <v>14</v>
      </c>
      <c r="I48" s="48">
        <v>340</v>
      </c>
      <c r="J48" s="48">
        <v>340</v>
      </c>
      <c r="K48" s="82">
        <v>9</v>
      </c>
      <c r="L48" s="82">
        <v>0.45</v>
      </c>
      <c r="M48" s="82">
        <v>0.8</v>
      </c>
      <c r="N48" s="36" t="s">
        <v>85</v>
      </c>
    </row>
    <row r="49" spans="1:14" s="9" customFormat="1" ht="66" x14ac:dyDescent="0.25">
      <c r="A49" s="140" t="s">
        <v>885</v>
      </c>
      <c r="B49" s="140" t="s">
        <v>886</v>
      </c>
      <c r="C49" s="34" t="s">
        <v>21</v>
      </c>
      <c r="D49" s="35"/>
      <c r="E49" s="35">
        <v>1</v>
      </c>
      <c r="F49" s="46" t="s">
        <v>953</v>
      </c>
      <c r="G49" s="75">
        <v>5</v>
      </c>
      <c r="H49" s="73" t="s">
        <v>14</v>
      </c>
      <c r="I49" s="48">
        <v>5060</v>
      </c>
      <c r="J49" s="48">
        <v>5060</v>
      </c>
      <c r="K49" s="82">
        <v>3.3</v>
      </c>
      <c r="L49" s="82">
        <v>1.3</v>
      </c>
      <c r="M49" s="82">
        <v>1.5</v>
      </c>
      <c r="N49" s="36" t="s">
        <v>85</v>
      </c>
    </row>
    <row r="50" spans="1:14" s="9" customFormat="1" ht="26.4" x14ac:dyDescent="0.25">
      <c r="A50" s="140" t="s">
        <v>885</v>
      </c>
      <c r="B50" s="140" t="s">
        <v>886</v>
      </c>
      <c r="C50" s="34" t="s">
        <v>20</v>
      </c>
      <c r="D50" s="35"/>
      <c r="E50" s="35">
        <v>1</v>
      </c>
      <c r="F50" s="46" t="s">
        <v>881</v>
      </c>
      <c r="G50" s="128">
        <v>17</v>
      </c>
      <c r="H50" s="129" t="s">
        <v>14</v>
      </c>
      <c r="I50" s="48">
        <v>430</v>
      </c>
      <c r="J50" s="48">
        <v>460</v>
      </c>
      <c r="K50" s="82">
        <v>0.9</v>
      </c>
      <c r="L50" s="82">
        <v>0.9</v>
      </c>
      <c r="M50" s="82">
        <v>0.6</v>
      </c>
      <c r="N50" s="36" t="s">
        <v>85</v>
      </c>
    </row>
    <row r="51" spans="1:14" s="9" customFormat="1" ht="20.399999999999999" x14ac:dyDescent="0.25">
      <c r="A51" s="140" t="s">
        <v>885</v>
      </c>
      <c r="B51" s="140" t="s">
        <v>886</v>
      </c>
      <c r="C51" s="34" t="s">
        <v>21</v>
      </c>
      <c r="D51" s="35"/>
      <c r="E51" s="35">
        <v>1</v>
      </c>
      <c r="F51" s="46" t="s">
        <v>882</v>
      </c>
      <c r="G51" s="128">
        <v>1</v>
      </c>
      <c r="H51" s="73" t="s">
        <v>14</v>
      </c>
      <c r="I51" s="48">
        <v>50</v>
      </c>
      <c r="J51" s="48">
        <v>50</v>
      </c>
      <c r="K51" s="82">
        <v>0.82</v>
      </c>
      <c r="L51" s="82">
        <v>0.82</v>
      </c>
      <c r="M51" s="82">
        <v>0.85</v>
      </c>
      <c r="N51" s="36" t="s">
        <v>85</v>
      </c>
    </row>
    <row r="52" spans="1:14" ht="20.399999999999999" x14ac:dyDescent="0.25">
      <c r="A52" s="140" t="s">
        <v>885</v>
      </c>
      <c r="B52" s="140" t="s">
        <v>948</v>
      </c>
      <c r="C52" s="34" t="s">
        <v>21</v>
      </c>
      <c r="D52" s="35"/>
      <c r="E52" s="35">
        <v>1</v>
      </c>
      <c r="F52" s="46" t="s">
        <v>772</v>
      </c>
      <c r="G52" s="75">
        <v>1</v>
      </c>
      <c r="H52" s="73" t="s">
        <v>14</v>
      </c>
      <c r="I52" s="48">
        <v>40550</v>
      </c>
      <c r="J52" s="48">
        <v>40550</v>
      </c>
      <c r="K52" s="82">
        <v>9.5</v>
      </c>
      <c r="L52" s="82">
        <v>3.82</v>
      </c>
      <c r="M52" s="82">
        <v>3.93</v>
      </c>
      <c r="N52" s="36" t="s">
        <v>947</v>
      </c>
    </row>
    <row r="53" spans="1:14" ht="20.399999999999999" x14ac:dyDescent="0.25">
      <c r="A53" s="140" t="s">
        <v>885</v>
      </c>
      <c r="B53" s="140" t="s">
        <v>948</v>
      </c>
      <c r="C53" s="34" t="s">
        <v>21</v>
      </c>
      <c r="D53" s="35"/>
      <c r="E53" s="35">
        <v>1</v>
      </c>
      <c r="F53" s="46" t="s">
        <v>773</v>
      </c>
      <c r="G53" s="75">
        <v>1</v>
      </c>
      <c r="H53" s="73" t="s">
        <v>14</v>
      </c>
      <c r="I53" s="48">
        <v>500</v>
      </c>
      <c r="J53" s="48">
        <v>500</v>
      </c>
      <c r="K53" s="82">
        <v>3.65</v>
      </c>
      <c r="L53" s="82">
        <v>0.32</v>
      </c>
      <c r="M53" s="82">
        <v>0.65</v>
      </c>
      <c r="N53" s="36" t="s">
        <v>85</v>
      </c>
    </row>
    <row r="54" spans="1:14" ht="20.399999999999999" x14ac:dyDescent="0.25">
      <c r="A54" s="140" t="s">
        <v>885</v>
      </c>
      <c r="B54" s="140" t="s">
        <v>948</v>
      </c>
      <c r="C54" s="34" t="s">
        <v>21</v>
      </c>
      <c r="D54" s="35"/>
      <c r="E54" s="35">
        <v>1</v>
      </c>
      <c r="F54" s="46" t="s">
        <v>774</v>
      </c>
      <c r="G54" s="75">
        <v>1</v>
      </c>
      <c r="H54" s="73" t="s">
        <v>14</v>
      </c>
      <c r="I54" s="48">
        <v>295</v>
      </c>
      <c r="J54" s="48">
        <v>295</v>
      </c>
      <c r="K54" s="82">
        <v>8.01</v>
      </c>
      <c r="L54" s="82">
        <v>0.5</v>
      </c>
      <c r="M54" s="82">
        <v>0.4</v>
      </c>
      <c r="N54" s="36" t="s">
        <v>85</v>
      </c>
    </row>
    <row r="55" spans="1:14" ht="52.8" x14ac:dyDescent="0.25">
      <c r="A55" s="140" t="s">
        <v>885</v>
      </c>
      <c r="B55" s="140" t="s">
        <v>948</v>
      </c>
      <c r="C55" s="34" t="s">
        <v>20</v>
      </c>
      <c r="D55" s="35"/>
      <c r="E55" s="35">
        <v>1</v>
      </c>
      <c r="F55" s="46" t="s">
        <v>946</v>
      </c>
      <c r="G55" s="75">
        <v>29</v>
      </c>
      <c r="H55" s="73" t="s">
        <v>14</v>
      </c>
      <c r="I55" s="48">
        <v>30</v>
      </c>
      <c r="J55" s="48">
        <v>70</v>
      </c>
      <c r="K55" s="82">
        <v>0.8</v>
      </c>
      <c r="L55" s="82">
        <v>0.8</v>
      </c>
      <c r="M55" s="82">
        <v>0.7</v>
      </c>
      <c r="N55" s="36" t="s">
        <v>85</v>
      </c>
    </row>
    <row r="56" spans="1:14" ht="13.8" x14ac:dyDescent="0.25">
      <c r="A56" s="140"/>
      <c r="B56" s="140"/>
      <c r="C56" s="34" t="s">
        <v>20</v>
      </c>
      <c r="D56" s="35"/>
      <c r="E56" s="35">
        <v>1</v>
      </c>
      <c r="F56" s="46" t="s">
        <v>954</v>
      </c>
      <c r="G56" s="75">
        <v>1</v>
      </c>
      <c r="H56" s="73" t="s">
        <v>14</v>
      </c>
      <c r="I56" s="48">
        <v>77</v>
      </c>
      <c r="J56" s="48">
        <v>92</v>
      </c>
      <c r="K56" s="82"/>
      <c r="L56" s="82"/>
      <c r="M56" s="82"/>
      <c r="N56" s="36" t="s">
        <v>733</v>
      </c>
    </row>
    <row r="57" spans="1:14" ht="79.2" x14ac:dyDescent="0.25">
      <c r="A57" s="140" t="s">
        <v>885</v>
      </c>
      <c r="B57" s="140" t="s">
        <v>989</v>
      </c>
      <c r="C57" s="34" t="s">
        <v>21</v>
      </c>
      <c r="D57" s="35" t="s">
        <v>994</v>
      </c>
      <c r="E57" s="35">
        <v>1</v>
      </c>
      <c r="F57" s="46" t="s">
        <v>995</v>
      </c>
      <c r="G57" s="75">
        <v>5</v>
      </c>
      <c r="H57" s="73" t="s">
        <v>14</v>
      </c>
      <c r="I57" s="48">
        <v>4685</v>
      </c>
      <c r="J57" s="48">
        <v>4685</v>
      </c>
      <c r="K57" s="82">
        <v>3</v>
      </c>
      <c r="L57" s="82">
        <v>1</v>
      </c>
      <c r="M57" s="82">
        <v>1.85</v>
      </c>
      <c r="N57" s="36" t="s">
        <v>85</v>
      </c>
    </row>
    <row r="58" spans="1:14" ht="26.4" x14ac:dyDescent="0.25">
      <c r="A58" s="140" t="s">
        <v>1036</v>
      </c>
      <c r="B58" s="140" t="s">
        <v>1019</v>
      </c>
      <c r="C58" s="34" t="s">
        <v>21</v>
      </c>
      <c r="D58" s="35"/>
      <c r="E58" s="35">
        <v>1</v>
      </c>
      <c r="F58" s="46" t="s">
        <v>1042</v>
      </c>
      <c r="G58" s="75">
        <v>1</v>
      </c>
      <c r="H58" s="73" t="s">
        <v>14</v>
      </c>
      <c r="I58" s="48">
        <v>17070</v>
      </c>
      <c r="J58" s="48">
        <v>17070</v>
      </c>
      <c r="K58" s="82">
        <v>8.5299999999999994</v>
      </c>
      <c r="L58" s="82">
        <v>2.73</v>
      </c>
      <c r="M58" s="82">
        <v>2.88</v>
      </c>
      <c r="N58" s="36" t="s">
        <v>167</v>
      </c>
    </row>
    <row r="59" spans="1:14" ht="20.399999999999999" x14ac:dyDescent="0.25">
      <c r="A59" s="140" t="s">
        <v>1036</v>
      </c>
      <c r="B59" s="140" t="s">
        <v>1019</v>
      </c>
      <c r="C59" s="34" t="s">
        <v>21</v>
      </c>
      <c r="D59" s="35"/>
      <c r="E59" s="35">
        <v>1</v>
      </c>
      <c r="F59" s="46" t="s">
        <v>1039</v>
      </c>
      <c r="G59" s="75">
        <v>1</v>
      </c>
      <c r="H59" s="73" t="s">
        <v>14</v>
      </c>
      <c r="I59" s="48">
        <v>170</v>
      </c>
      <c r="J59" s="48">
        <v>170</v>
      </c>
      <c r="K59" s="82">
        <v>2.65</v>
      </c>
      <c r="L59" s="82">
        <v>0.25</v>
      </c>
      <c r="M59" s="82">
        <v>0.45</v>
      </c>
      <c r="N59" s="36" t="s">
        <v>85</v>
      </c>
    </row>
    <row r="60" spans="1:14" ht="20.399999999999999" x14ac:dyDescent="0.25">
      <c r="A60" s="140" t="s">
        <v>1036</v>
      </c>
      <c r="B60" s="140" t="s">
        <v>1019</v>
      </c>
      <c r="C60" s="34" t="s">
        <v>21</v>
      </c>
      <c r="D60" s="35"/>
      <c r="E60" s="35">
        <v>1</v>
      </c>
      <c r="F60" s="46" t="s">
        <v>1040</v>
      </c>
      <c r="G60" s="75">
        <v>1</v>
      </c>
      <c r="H60" s="73" t="s">
        <v>14</v>
      </c>
      <c r="I60" s="48">
        <v>140</v>
      </c>
      <c r="J60" s="48">
        <v>140</v>
      </c>
      <c r="K60" s="82">
        <v>6.98</v>
      </c>
      <c r="L60" s="82">
        <v>0.65</v>
      </c>
      <c r="M60" s="82">
        <v>0.4</v>
      </c>
      <c r="N60" s="36" t="s">
        <v>85</v>
      </c>
    </row>
    <row r="61" spans="1:14" ht="20.399999999999999" x14ac:dyDescent="0.25">
      <c r="A61" s="140" t="s">
        <v>1045</v>
      </c>
      <c r="B61" s="140" t="s">
        <v>1065</v>
      </c>
      <c r="C61" s="34" t="s">
        <v>97</v>
      </c>
      <c r="D61" s="35"/>
      <c r="E61" s="35">
        <v>1</v>
      </c>
      <c r="F61" s="46" t="s">
        <v>1046</v>
      </c>
      <c r="G61" s="128">
        <v>1</v>
      </c>
      <c r="H61" s="129" t="s">
        <v>938</v>
      </c>
      <c r="I61" s="47">
        <v>27360</v>
      </c>
      <c r="J61" s="52">
        <v>27360</v>
      </c>
      <c r="K61" s="82">
        <v>5.46</v>
      </c>
      <c r="L61" s="82">
        <v>5.03</v>
      </c>
      <c r="M61" s="82">
        <v>3.4</v>
      </c>
      <c r="N61" s="36"/>
    </row>
    <row r="62" spans="1:14" ht="20.399999999999999" x14ac:dyDescent="0.25">
      <c r="A62" s="140" t="s">
        <v>1045</v>
      </c>
      <c r="B62" s="140" t="s">
        <v>1065</v>
      </c>
      <c r="C62" s="34" t="s">
        <v>97</v>
      </c>
      <c r="D62" s="35"/>
      <c r="E62" s="35">
        <v>1</v>
      </c>
      <c r="F62" s="46" t="s">
        <v>1047</v>
      </c>
      <c r="G62" s="128">
        <v>1</v>
      </c>
      <c r="H62" s="129" t="s">
        <v>938</v>
      </c>
      <c r="I62" s="47">
        <v>36000</v>
      </c>
      <c r="J62" s="52">
        <v>36000</v>
      </c>
      <c r="K62" s="82">
        <v>5.46</v>
      </c>
      <c r="L62" s="82">
        <v>5.03</v>
      </c>
      <c r="M62" s="82">
        <v>4.4000000000000004</v>
      </c>
      <c r="N62" s="36"/>
    </row>
    <row r="63" spans="1:14" ht="20.399999999999999" x14ac:dyDescent="0.25">
      <c r="A63" s="140" t="s">
        <v>1045</v>
      </c>
      <c r="B63" s="140" t="s">
        <v>1065</v>
      </c>
      <c r="C63" s="34" t="s">
        <v>97</v>
      </c>
      <c r="D63" s="35"/>
      <c r="E63" s="35">
        <v>1</v>
      </c>
      <c r="F63" s="46" t="s">
        <v>1048</v>
      </c>
      <c r="G63" s="128">
        <v>1</v>
      </c>
      <c r="H63" s="129" t="s">
        <v>938</v>
      </c>
      <c r="I63" s="47">
        <v>30650</v>
      </c>
      <c r="J63" s="52">
        <v>30650</v>
      </c>
      <c r="K63" s="82">
        <v>5.58</v>
      </c>
      <c r="L63" s="82">
        <v>5.58</v>
      </c>
      <c r="M63" s="82">
        <v>3.08</v>
      </c>
      <c r="N63" s="36"/>
    </row>
    <row r="64" spans="1:14" ht="20.399999999999999" x14ac:dyDescent="0.25">
      <c r="A64" s="140" t="s">
        <v>1045</v>
      </c>
      <c r="B64" s="140" t="s">
        <v>1065</v>
      </c>
      <c r="C64" s="34" t="s">
        <v>97</v>
      </c>
      <c r="D64" s="35"/>
      <c r="E64" s="35">
        <v>1</v>
      </c>
      <c r="F64" s="46" t="s">
        <v>1049</v>
      </c>
      <c r="G64" s="128">
        <v>1</v>
      </c>
      <c r="H64" s="129" t="s">
        <v>938</v>
      </c>
      <c r="I64" s="47">
        <v>775</v>
      </c>
      <c r="J64" s="52">
        <v>775</v>
      </c>
      <c r="K64" s="82">
        <v>5.3</v>
      </c>
      <c r="L64" s="82">
        <v>0.35</v>
      </c>
      <c r="M64" s="82">
        <v>0.7</v>
      </c>
      <c r="N64" s="36"/>
    </row>
    <row r="65" spans="1:14" ht="79.2" x14ac:dyDescent="0.25">
      <c r="A65" s="140" t="s">
        <v>1045</v>
      </c>
      <c r="B65" s="140" t="s">
        <v>1065</v>
      </c>
      <c r="C65" s="34" t="s">
        <v>97</v>
      </c>
      <c r="D65" s="35"/>
      <c r="E65" s="35">
        <v>1</v>
      </c>
      <c r="F65" s="46" t="s">
        <v>1050</v>
      </c>
      <c r="G65" s="128">
        <v>4</v>
      </c>
      <c r="H65" s="129" t="s">
        <v>944</v>
      </c>
      <c r="I65" s="48">
        <v>13130</v>
      </c>
      <c r="J65" s="48">
        <v>13130</v>
      </c>
      <c r="K65" s="82">
        <v>4.26</v>
      </c>
      <c r="L65" s="82">
        <v>1.53</v>
      </c>
      <c r="M65" s="82">
        <v>1.97</v>
      </c>
      <c r="N65" s="36"/>
    </row>
    <row r="66" spans="1:14" ht="39.6" x14ac:dyDescent="0.25">
      <c r="A66" s="140" t="s">
        <v>1045</v>
      </c>
      <c r="B66" s="140" t="s">
        <v>1065</v>
      </c>
      <c r="C66" s="34" t="s">
        <v>942</v>
      </c>
      <c r="D66" s="35"/>
      <c r="E66" s="35">
        <v>1</v>
      </c>
      <c r="F66" s="46" t="s">
        <v>1051</v>
      </c>
      <c r="G66" s="128">
        <v>23</v>
      </c>
      <c r="H66" s="129" t="s">
        <v>944</v>
      </c>
      <c r="I66" s="47">
        <v>1250</v>
      </c>
      <c r="J66" s="52">
        <v>1290</v>
      </c>
      <c r="K66" s="82">
        <v>1.23</v>
      </c>
      <c r="L66" s="82">
        <v>1.23</v>
      </c>
      <c r="M66" s="82">
        <v>0.7</v>
      </c>
      <c r="N66" s="36"/>
    </row>
    <row r="67" spans="1:14" ht="20.399999999999999" x14ac:dyDescent="0.25">
      <c r="A67" s="140" t="s">
        <v>1045</v>
      </c>
      <c r="B67" s="140" t="s">
        <v>1065</v>
      </c>
      <c r="C67" s="34" t="s">
        <v>97</v>
      </c>
      <c r="D67" s="35"/>
      <c r="E67" s="35">
        <v>1</v>
      </c>
      <c r="F67" s="46" t="s">
        <v>1052</v>
      </c>
      <c r="G67" s="128">
        <v>1</v>
      </c>
      <c r="H67" s="129" t="s">
        <v>938</v>
      </c>
      <c r="I67" s="47">
        <v>80</v>
      </c>
      <c r="J67" s="52">
        <v>80</v>
      </c>
      <c r="K67" s="82">
        <v>1.5</v>
      </c>
      <c r="L67" s="82">
        <v>1.35</v>
      </c>
      <c r="M67" s="82">
        <v>0.7</v>
      </c>
      <c r="N67" s="36"/>
    </row>
    <row r="68" spans="1:14" ht="20.399999999999999" x14ac:dyDescent="0.25">
      <c r="A68" s="140" t="s">
        <v>1045</v>
      </c>
      <c r="B68" s="140" t="s">
        <v>1065</v>
      </c>
      <c r="C68" s="34" t="s">
        <v>97</v>
      </c>
      <c r="D68" s="35"/>
      <c r="E68" s="35">
        <v>1</v>
      </c>
      <c r="F68" s="46" t="s">
        <v>1053</v>
      </c>
      <c r="G68" s="128">
        <v>1</v>
      </c>
      <c r="H68" s="129" t="s">
        <v>938</v>
      </c>
      <c r="I68" s="47">
        <v>450</v>
      </c>
      <c r="J68" s="52">
        <v>450</v>
      </c>
      <c r="K68" s="82">
        <v>10.5</v>
      </c>
      <c r="L68" s="82">
        <v>0.5</v>
      </c>
      <c r="M68" s="82">
        <v>0.8</v>
      </c>
      <c r="N68" s="36"/>
    </row>
    <row r="69" spans="1:14" ht="20.399999999999999" x14ac:dyDescent="0.25">
      <c r="A69" s="140" t="s">
        <v>1045</v>
      </c>
      <c r="B69" s="140" t="s">
        <v>1065</v>
      </c>
      <c r="C69" s="34" t="s">
        <v>97</v>
      </c>
      <c r="D69" s="35"/>
      <c r="E69" s="35">
        <v>1</v>
      </c>
      <c r="F69" s="46" t="s">
        <v>1054</v>
      </c>
      <c r="G69" s="128">
        <v>1</v>
      </c>
      <c r="H69" s="129" t="s">
        <v>938</v>
      </c>
      <c r="I69" s="47">
        <v>2235</v>
      </c>
      <c r="J69" s="52">
        <v>2235</v>
      </c>
      <c r="K69" s="82">
        <v>4.5199999999999996</v>
      </c>
      <c r="L69" s="82">
        <v>0.28000000000000003</v>
      </c>
      <c r="M69" s="82">
        <v>0.28000000000000003</v>
      </c>
      <c r="N69" s="36"/>
    </row>
    <row r="70" spans="1:14" ht="20.399999999999999" x14ac:dyDescent="0.25">
      <c r="A70" s="140" t="s">
        <v>1045</v>
      </c>
      <c r="B70" s="140" t="s">
        <v>1065</v>
      </c>
      <c r="C70" s="34" t="s">
        <v>97</v>
      </c>
      <c r="D70" s="35"/>
      <c r="E70" s="35">
        <v>1</v>
      </c>
      <c r="F70" s="46" t="s">
        <v>1055</v>
      </c>
      <c r="G70" s="128">
        <v>1</v>
      </c>
      <c r="H70" s="129" t="s">
        <v>938</v>
      </c>
      <c r="I70" s="47">
        <v>1950</v>
      </c>
      <c r="J70" s="52">
        <v>1950</v>
      </c>
      <c r="K70" s="82">
        <v>4.0999999999999996</v>
      </c>
      <c r="L70" s="82">
        <v>0.28000000000000003</v>
      </c>
      <c r="M70" s="82">
        <v>0.28000000000000003</v>
      </c>
      <c r="N70" s="36"/>
    </row>
    <row r="71" spans="1:14" ht="20.399999999999999" x14ac:dyDescent="0.25">
      <c r="A71" s="140" t="s">
        <v>1045</v>
      </c>
      <c r="B71" s="140" t="s">
        <v>1065</v>
      </c>
      <c r="C71" s="34" t="s">
        <v>97</v>
      </c>
      <c r="D71" s="35"/>
      <c r="E71" s="35">
        <v>1</v>
      </c>
      <c r="F71" s="46" t="s">
        <v>1056</v>
      </c>
      <c r="G71" s="128">
        <v>1</v>
      </c>
      <c r="H71" s="129" t="s">
        <v>938</v>
      </c>
      <c r="I71" s="47">
        <v>1915</v>
      </c>
      <c r="J71" s="52">
        <v>1915</v>
      </c>
      <c r="K71" s="82">
        <v>4.09</v>
      </c>
      <c r="L71" s="82">
        <v>0.28000000000000003</v>
      </c>
      <c r="M71" s="82">
        <v>0.28000000000000003</v>
      </c>
      <c r="N71" s="36"/>
    </row>
    <row r="72" spans="1:14" ht="20.399999999999999" x14ac:dyDescent="0.25">
      <c r="A72" s="140" t="s">
        <v>1045</v>
      </c>
      <c r="B72" s="140" t="s">
        <v>1065</v>
      </c>
      <c r="C72" s="34" t="s">
        <v>97</v>
      </c>
      <c r="D72" s="35"/>
      <c r="E72" s="35">
        <v>1</v>
      </c>
      <c r="F72" s="46" t="s">
        <v>1057</v>
      </c>
      <c r="G72" s="128">
        <v>1</v>
      </c>
      <c r="H72" s="129" t="s">
        <v>938</v>
      </c>
      <c r="I72" s="47">
        <v>650</v>
      </c>
      <c r="J72" s="52">
        <v>650</v>
      </c>
      <c r="K72" s="82">
        <v>2.63</v>
      </c>
      <c r="L72" s="82">
        <v>0.65</v>
      </c>
      <c r="M72" s="82">
        <v>0.5</v>
      </c>
      <c r="N72" s="36"/>
    </row>
    <row r="73" spans="1:14" ht="20.399999999999999" x14ac:dyDescent="0.25">
      <c r="A73" s="140" t="s">
        <v>1045</v>
      </c>
      <c r="B73" s="140" t="s">
        <v>1065</v>
      </c>
      <c r="C73" s="34" t="s">
        <v>97</v>
      </c>
      <c r="D73" s="35"/>
      <c r="E73" s="35">
        <v>1</v>
      </c>
      <c r="F73" s="46" t="s">
        <v>1058</v>
      </c>
      <c r="G73" s="128">
        <v>1</v>
      </c>
      <c r="H73" s="129" t="s">
        <v>938</v>
      </c>
      <c r="I73" s="47">
        <v>530</v>
      </c>
      <c r="J73" s="52">
        <v>530</v>
      </c>
      <c r="K73" s="82">
        <v>2.63</v>
      </c>
      <c r="L73" s="82">
        <v>0.65</v>
      </c>
      <c r="M73" s="82">
        <v>0.3</v>
      </c>
      <c r="N73" s="36"/>
    </row>
    <row r="74" spans="1:14" ht="20.399999999999999" x14ac:dyDescent="0.25">
      <c r="A74" s="140" t="s">
        <v>1045</v>
      </c>
      <c r="B74" s="140" t="s">
        <v>1065</v>
      </c>
      <c r="C74" s="34" t="s">
        <v>97</v>
      </c>
      <c r="D74" s="35"/>
      <c r="E74" s="35">
        <v>1</v>
      </c>
      <c r="F74" s="161" t="s">
        <v>1059</v>
      </c>
      <c r="G74" s="128">
        <v>1</v>
      </c>
      <c r="H74" s="129" t="s">
        <v>938</v>
      </c>
      <c r="I74" s="48">
        <v>1265</v>
      </c>
      <c r="J74" s="48">
        <v>1290</v>
      </c>
      <c r="K74" s="82">
        <v>1.2</v>
      </c>
      <c r="L74" s="82">
        <v>1.2</v>
      </c>
      <c r="M74" s="82">
        <v>1.3</v>
      </c>
      <c r="N74" s="36"/>
    </row>
    <row r="75" spans="1:14" ht="20.399999999999999" x14ac:dyDescent="0.25">
      <c r="A75" s="140" t="s">
        <v>1045</v>
      </c>
      <c r="B75" s="140" t="s">
        <v>1065</v>
      </c>
      <c r="C75" s="34" t="s">
        <v>1060</v>
      </c>
      <c r="D75" s="35"/>
      <c r="E75" s="35">
        <v>1</v>
      </c>
      <c r="F75" s="161" t="s">
        <v>1061</v>
      </c>
      <c r="G75" s="128">
        <v>1</v>
      </c>
      <c r="H75" s="129" t="s">
        <v>938</v>
      </c>
      <c r="I75" s="48">
        <v>380</v>
      </c>
      <c r="J75" s="48">
        <v>390</v>
      </c>
      <c r="K75" s="82">
        <v>0.9</v>
      </c>
      <c r="L75" s="82">
        <v>0.75</v>
      </c>
      <c r="M75" s="82">
        <v>0.5</v>
      </c>
      <c r="N75" s="36"/>
    </row>
    <row r="76" spans="1:14" ht="20.399999999999999" x14ac:dyDescent="0.25">
      <c r="A76" s="140" t="s">
        <v>1045</v>
      </c>
      <c r="B76" s="140" t="s">
        <v>1065</v>
      </c>
      <c r="C76" s="34" t="s">
        <v>1060</v>
      </c>
      <c r="D76" s="35"/>
      <c r="E76" s="35">
        <v>1</v>
      </c>
      <c r="F76" s="161" t="s">
        <v>1062</v>
      </c>
      <c r="G76" s="128">
        <v>2</v>
      </c>
      <c r="H76" s="129" t="s">
        <v>944</v>
      </c>
      <c r="I76" s="48">
        <v>220</v>
      </c>
      <c r="J76" s="48">
        <v>235</v>
      </c>
      <c r="K76" s="82">
        <v>1.5</v>
      </c>
      <c r="L76" s="82">
        <v>0.9</v>
      </c>
      <c r="M76" s="82">
        <v>0.35</v>
      </c>
      <c r="N76" s="36"/>
    </row>
    <row r="77" spans="1:14" ht="26.4" x14ac:dyDescent="0.25">
      <c r="A77" s="140"/>
      <c r="B77" s="140" t="s">
        <v>1226</v>
      </c>
      <c r="C77" s="34" t="s">
        <v>21</v>
      </c>
      <c r="D77" s="141"/>
      <c r="E77" s="35">
        <v>1</v>
      </c>
      <c r="F77" s="46" t="s">
        <v>1211</v>
      </c>
      <c r="G77" s="75">
        <v>1</v>
      </c>
      <c r="H77" s="76" t="s">
        <v>14</v>
      </c>
      <c r="I77" s="51">
        <v>20795</v>
      </c>
      <c r="J77" s="51">
        <v>20795</v>
      </c>
      <c r="K77" s="82">
        <v>7.71</v>
      </c>
      <c r="L77" s="82">
        <v>3.77</v>
      </c>
      <c r="M77" s="82">
        <v>3.79</v>
      </c>
      <c r="N77" s="36"/>
    </row>
    <row r="78" spans="1:14" ht="20.399999999999999" x14ac:dyDescent="0.25">
      <c r="A78" s="140"/>
      <c r="B78" s="140" t="s">
        <v>1226</v>
      </c>
      <c r="C78" s="34" t="s">
        <v>21</v>
      </c>
      <c r="D78" s="141"/>
      <c r="E78" s="35">
        <v>1</v>
      </c>
      <c r="F78" s="46" t="s">
        <v>1212</v>
      </c>
      <c r="G78" s="75">
        <v>1</v>
      </c>
      <c r="H78" s="76" t="s">
        <v>14</v>
      </c>
      <c r="I78" s="51">
        <v>500</v>
      </c>
      <c r="J78" s="51">
        <v>500</v>
      </c>
      <c r="K78" s="82">
        <v>3.45</v>
      </c>
      <c r="L78" s="82">
        <v>0.35</v>
      </c>
      <c r="M78" s="82">
        <v>0.7</v>
      </c>
      <c r="N78" s="36"/>
    </row>
    <row r="79" spans="1:14" ht="79.2" x14ac:dyDescent="0.25">
      <c r="A79" s="140"/>
      <c r="B79" s="140" t="s">
        <v>1226</v>
      </c>
      <c r="C79" s="34" t="s">
        <v>21</v>
      </c>
      <c r="D79" s="35"/>
      <c r="E79" s="35">
        <v>1</v>
      </c>
      <c r="F79" s="46" t="s">
        <v>1213</v>
      </c>
      <c r="G79" s="75">
        <v>5</v>
      </c>
      <c r="H79" s="73" t="s">
        <v>14</v>
      </c>
      <c r="I79" s="48">
        <v>3390</v>
      </c>
      <c r="J79" s="48">
        <v>3390</v>
      </c>
      <c r="K79" s="82">
        <v>2.8</v>
      </c>
      <c r="L79" s="82">
        <v>1.1000000000000001</v>
      </c>
      <c r="M79" s="82">
        <v>1.3</v>
      </c>
      <c r="N79" s="36"/>
    </row>
    <row r="80" spans="1:14" ht="26.4" x14ac:dyDescent="0.25">
      <c r="A80" s="140"/>
      <c r="B80" s="140" t="s">
        <v>1226</v>
      </c>
      <c r="C80" s="34" t="s">
        <v>20</v>
      </c>
      <c r="D80" s="141"/>
      <c r="E80" s="35">
        <v>1</v>
      </c>
      <c r="F80" s="46" t="s">
        <v>1214</v>
      </c>
      <c r="G80" s="75">
        <v>15</v>
      </c>
      <c r="H80" s="129" t="s">
        <v>14</v>
      </c>
      <c r="I80" s="48">
        <v>255</v>
      </c>
      <c r="J80" s="48">
        <v>270</v>
      </c>
      <c r="K80" s="82">
        <v>0.7</v>
      </c>
      <c r="L80" s="82">
        <v>0.7</v>
      </c>
      <c r="M80" s="82">
        <v>0.55000000000000004</v>
      </c>
      <c r="N80" s="36"/>
    </row>
    <row r="81" spans="1:14" ht="20.399999999999999" x14ac:dyDescent="0.25">
      <c r="A81" s="140"/>
      <c r="B81" s="140" t="s">
        <v>1226</v>
      </c>
      <c r="C81" s="34" t="s">
        <v>21</v>
      </c>
      <c r="D81" s="141"/>
      <c r="E81" s="35">
        <v>1</v>
      </c>
      <c r="F81" s="46" t="s">
        <v>1215</v>
      </c>
      <c r="G81" s="75">
        <v>1</v>
      </c>
      <c r="H81" s="129" t="s">
        <v>14</v>
      </c>
      <c r="I81" s="48">
        <v>40</v>
      </c>
      <c r="J81" s="48">
        <v>40</v>
      </c>
      <c r="K81" s="82">
        <v>0.9</v>
      </c>
      <c r="L81" s="82">
        <v>0.75</v>
      </c>
      <c r="M81" s="82">
        <v>0.45</v>
      </c>
      <c r="N81" s="36"/>
    </row>
    <row r="82" spans="1:14" ht="26.4" x14ac:dyDescent="0.25">
      <c r="A82" s="140"/>
      <c r="B82" s="140" t="s">
        <v>1226</v>
      </c>
      <c r="C82" s="34" t="s">
        <v>18</v>
      </c>
      <c r="D82" s="141" t="s">
        <v>1216</v>
      </c>
      <c r="E82" s="35">
        <v>1</v>
      </c>
      <c r="F82" s="46" t="s">
        <v>1217</v>
      </c>
      <c r="G82" s="75">
        <v>2</v>
      </c>
      <c r="H82" s="129" t="s">
        <v>14</v>
      </c>
      <c r="I82" s="48">
        <v>245</v>
      </c>
      <c r="J82" s="48">
        <v>265</v>
      </c>
      <c r="K82" s="82">
        <v>1.5</v>
      </c>
      <c r="L82" s="82">
        <v>1.2</v>
      </c>
      <c r="M82" s="82">
        <v>1</v>
      </c>
      <c r="N82" s="36"/>
    </row>
    <row r="83" spans="1:14" ht="39.6" x14ac:dyDescent="0.25">
      <c r="A83" s="140"/>
      <c r="B83" s="140" t="s">
        <v>1226</v>
      </c>
      <c r="C83" s="34" t="s">
        <v>21</v>
      </c>
      <c r="D83" s="141"/>
      <c r="E83" s="35">
        <v>1</v>
      </c>
      <c r="F83" s="46" t="s">
        <v>1218</v>
      </c>
      <c r="G83" s="75">
        <v>1</v>
      </c>
      <c r="H83" s="76" t="s">
        <v>14</v>
      </c>
      <c r="I83" s="51">
        <v>12055</v>
      </c>
      <c r="J83" s="51">
        <v>12055</v>
      </c>
      <c r="K83" s="82">
        <v>5.45</v>
      </c>
      <c r="L83" s="82">
        <v>3.16</v>
      </c>
      <c r="M83" s="82">
        <v>3.04</v>
      </c>
      <c r="N83" s="36"/>
    </row>
    <row r="84" spans="1:14" ht="20.399999999999999" x14ac:dyDescent="0.25">
      <c r="A84" s="140"/>
      <c r="B84" s="140" t="s">
        <v>1226</v>
      </c>
      <c r="C84" s="34" t="s">
        <v>18</v>
      </c>
      <c r="D84" s="141"/>
      <c r="E84" s="35">
        <v>1</v>
      </c>
      <c r="F84" s="46" t="s">
        <v>1219</v>
      </c>
      <c r="G84" s="75">
        <v>4</v>
      </c>
      <c r="H84" s="76" t="s">
        <v>14</v>
      </c>
      <c r="I84" s="51">
        <v>120</v>
      </c>
      <c r="J84" s="51">
        <v>135</v>
      </c>
      <c r="K84" s="82">
        <v>1.2</v>
      </c>
      <c r="L84" s="82">
        <v>0.8</v>
      </c>
      <c r="M84" s="82">
        <v>0.3</v>
      </c>
      <c r="N84" s="36"/>
    </row>
    <row r="85" spans="1:14" ht="26.4" x14ac:dyDescent="0.25">
      <c r="A85" s="140"/>
      <c r="B85" s="140" t="s">
        <v>1226</v>
      </c>
      <c r="C85" s="34" t="s">
        <v>18</v>
      </c>
      <c r="D85" s="35" t="s">
        <v>1220</v>
      </c>
      <c r="E85" s="35">
        <v>1</v>
      </c>
      <c r="F85" s="46" t="s">
        <v>1221</v>
      </c>
      <c r="G85" s="75">
        <v>2</v>
      </c>
      <c r="H85" s="76" t="s">
        <v>14</v>
      </c>
      <c r="I85" s="51">
        <v>220</v>
      </c>
      <c r="J85" s="51">
        <v>235</v>
      </c>
      <c r="K85" s="82">
        <v>1.3</v>
      </c>
      <c r="L85" s="82">
        <v>0.7</v>
      </c>
      <c r="M85" s="82">
        <v>0.6</v>
      </c>
      <c r="N85" s="36"/>
    </row>
    <row r="86" spans="1:14" ht="20.399999999999999" x14ac:dyDescent="0.25">
      <c r="A86" s="140"/>
      <c r="B86" s="140" t="s">
        <v>1226</v>
      </c>
      <c r="C86" s="34" t="s">
        <v>21</v>
      </c>
      <c r="D86" s="141" t="s">
        <v>1222</v>
      </c>
      <c r="E86" s="35">
        <v>1</v>
      </c>
      <c r="F86" s="46" t="s">
        <v>1223</v>
      </c>
      <c r="G86" s="75">
        <v>1</v>
      </c>
      <c r="H86" s="76" t="s">
        <v>14</v>
      </c>
      <c r="I86" s="51">
        <v>300</v>
      </c>
      <c r="J86" s="51">
        <v>300</v>
      </c>
      <c r="K86" s="82">
        <v>3.52</v>
      </c>
      <c r="L86" s="82">
        <v>1.26</v>
      </c>
      <c r="M86" s="82">
        <v>1.3</v>
      </c>
      <c r="N86" s="36"/>
    </row>
    <row r="87" spans="1:14" ht="20.399999999999999" x14ac:dyDescent="0.25">
      <c r="A87" s="140"/>
      <c r="B87" s="140" t="s">
        <v>1226</v>
      </c>
      <c r="C87" s="34" t="s">
        <v>21</v>
      </c>
      <c r="D87" s="141" t="s">
        <v>1224</v>
      </c>
      <c r="E87" s="35">
        <v>1</v>
      </c>
      <c r="F87" s="46" t="s">
        <v>1225</v>
      </c>
      <c r="G87" s="128">
        <v>1</v>
      </c>
      <c r="H87" s="131" t="s">
        <v>14</v>
      </c>
      <c r="I87" s="51">
        <v>150</v>
      </c>
      <c r="J87" s="51">
        <v>150</v>
      </c>
      <c r="K87" s="82">
        <v>2.23</v>
      </c>
      <c r="L87" s="82">
        <v>0.87</v>
      </c>
      <c r="M87" s="82">
        <v>1.3</v>
      </c>
      <c r="N87" s="36"/>
    </row>
    <row r="88" spans="1:14" ht="26.4" x14ac:dyDescent="0.25">
      <c r="A88" s="140" t="s">
        <v>1187</v>
      </c>
      <c r="B88" s="195" t="s">
        <v>1265</v>
      </c>
      <c r="C88" s="34" t="s">
        <v>21</v>
      </c>
      <c r="D88" s="68" t="s">
        <v>1034</v>
      </c>
      <c r="E88" s="35">
        <v>1</v>
      </c>
      <c r="F88" s="46" t="s">
        <v>1266</v>
      </c>
      <c r="G88" s="128">
        <v>1</v>
      </c>
      <c r="H88" s="131" t="s">
        <v>14</v>
      </c>
      <c r="I88" s="48">
        <v>12610</v>
      </c>
      <c r="J88" s="48">
        <v>12610</v>
      </c>
      <c r="K88" s="82">
        <v>5.51</v>
      </c>
      <c r="L88" s="82">
        <v>2.68</v>
      </c>
      <c r="M88" s="82">
        <v>2.85</v>
      </c>
      <c r="N88" s="36"/>
    </row>
    <row r="89" spans="1:14" ht="20.399999999999999" x14ac:dyDescent="0.25">
      <c r="A89" s="140" t="s">
        <v>1187</v>
      </c>
      <c r="B89" s="195" t="s">
        <v>1265</v>
      </c>
      <c r="C89" s="34" t="s">
        <v>21</v>
      </c>
      <c r="D89" s="179" t="s">
        <v>994</v>
      </c>
      <c r="E89" s="35">
        <v>1</v>
      </c>
      <c r="F89" s="46" t="s">
        <v>1035</v>
      </c>
      <c r="G89" s="128">
        <v>1</v>
      </c>
      <c r="H89" s="131" t="s">
        <v>14</v>
      </c>
      <c r="I89" s="48">
        <v>150</v>
      </c>
      <c r="J89" s="48">
        <v>150</v>
      </c>
      <c r="K89" s="82">
        <v>2.65</v>
      </c>
      <c r="L89" s="82">
        <v>0.25</v>
      </c>
      <c r="M89" s="82">
        <v>0.35</v>
      </c>
      <c r="N89" s="36"/>
    </row>
    <row r="90" spans="1:14" ht="20.399999999999999" x14ac:dyDescent="0.25">
      <c r="A90" s="140" t="s">
        <v>1187</v>
      </c>
      <c r="B90" s="195" t="s">
        <v>1265</v>
      </c>
      <c r="C90" s="34" t="s">
        <v>21</v>
      </c>
      <c r="D90" s="179" t="s">
        <v>994</v>
      </c>
      <c r="E90" s="35">
        <v>1</v>
      </c>
      <c r="F90" s="46" t="s">
        <v>1037</v>
      </c>
      <c r="G90" s="128">
        <v>1</v>
      </c>
      <c r="H90" s="131" t="s">
        <v>14</v>
      </c>
      <c r="I90" s="48">
        <v>100</v>
      </c>
      <c r="J90" s="48">
        <v>100</v>
      </c>
      <c r="K90" s="82">
        <v>4.4000000000000004</v>
      </c>
      <c r="L90" s="82">
        <v>0.56999999999999995</v>
      </c>
      <c r="M90" s="82">
        <v>0.32</v>
      </c>
      <c r="N90" s="36"/>
    </row>
    <row r="91" spans="1:14" ht="26.4" x14ac:dyDescent="0.25">
      <c r="A91" s="140" t="s">
        <v>1036</v>
      </c>
      <c r="B91" s="140" t="s">
        <v>1033</v>
      </c>
      <c r="C91" s="34" t="s">
        <v>21</v>
      </c>
      <c r="D91" s="68" t="s">
        <v>1034</v>
      </c>
      <c r="E91" s="35">
        <v>1</v>
      </c>
      <c r="F91" s="46" t="s">
        <v>1041</v>
      </c>
      <c r="G91" s="75">
        <v>1</v>
      </c>
      <c r="H91" s="73" t="s">
        <v>14</v>
      </c>
      <c r="I91" s="48">
        <v>12610</v>
      </c>
      <c r="J91" s="48">
        <v>12610</v>
      </c>
      <c r="K91" s="82">
        <v>5.51</v>
      </c>
      <c r="L91" s="82">
        <v>2.68</v>
      </c>
      <c r="M91" s="82">
        <v>2.85</v>
      </c>
      <c r="N91" s="36" t="s">
        <v>167</v>
      </c>
    </row>
    <row r="92" spans="1:14" ht="20.399999999999999" x14ac:dyDescent="0.25">
      <c r="A92" s="140" t="s">
        <v>1036</v>
      </c>
      <c r="B92" s="140" t="s">
        <v>1033</v>
      </c>
      <c r="C92" s="34" t="s">
        <v>21</v>
      </c>
      <c r="D92" s="179" t="s">
        <v>994</v>
      </c>
      <c r="E92" s="35">
        <v>1</v>
      </c>
      <c r="F92" s="46" t="s">
        <v>1035</v>
      </c>
      <c r="G92" s="75">
        <v>1</v>
      </c>
      <c r="H92" s="73" t="s">
        <v>14</v>
      </c>
      <c r="I92" s="48">
        <v>150</v>
      </c>
      <c r="J92" s="48">
        <v>150</v>
      </c>
      <c r="K92" s="82">
        <v>2.65</v>
      </c>
      <c r="L92" s="82">
        <v>0.25</v>
      </c>
      <c r="M92" s="82">
        <v>0.35</v>
      </c>
      <c r="N92" s="36" t="s">
        <v>85</v>
      </c>
    </row>
    <row r="93" spans="1:14" ht="20.399999999999999" x14ac:dyDescent="0.25">
      <c r="A93" s="140" t="s">
        <v>1036</v>
      </c>
      <c r="B93" s="140" t="s">
        <v>1033</v>
      </c>
      <c r="C93" s="34" t="s">
        <v>21</v>
      </c>
      <c r="D93" s="179" t="s">
        <v>994</v>
      </c>
      <c r="E93" s="35">
        <v>1</v>
      </c>
      <c r="F93" s="46" t="s">
        <v>1037</v>
      </c>
      <c r="G93" s="75">
        <v>1</v>
      </c>
      <c r="H93" s="73" t="s">
        <v>14</v>
      </c>
      <c r="I93" s="48">
        <v>100</v>
      </c>
      <c r="J93" s="48">
        <v>100</v>
      </c>
      <c r="K93" s="82">
        <v>4.4000000000000004</v>
      </c>
      <c r="L93" s="82">
        <v>0.56999999999999995</v>
      </c>
      <c r="M93" s="82">
        <v>0.32</v>
      </c>
      <c r="N93" s="36" t="s">
        <v>85</v>
      </c>
    </row>
    <row r="94" spans="1:14" ht="20.399999999999999" x14ac:dyDescent="0.25">
      <c r="A94" s="140" t="s">
        <v>1187</v>
      </c>
      <c r="B94" s="195" t="s">
        <v>1265</v>
      </c>
      <c r="C94" s="34" t="s">
        <v>21</v>
      </c>
      <c r="D94" s="141" t="s">
        <v>1267</v>
      </c>
      <c r="E94" s="35">
        <v>1</v>
      </c>
      <c r="F94" s="46" t="s">
        <v>1268</v>
      </c>
      <c r="G94" s="75">
        <v>1</v>
      </c>
      <c r="H94" s="73" t="s">
        <v>14</v>
      </c>
      <c r="I94" s="48">
        <v>160</v>
      </c>
      <c r="J94" s="48">
        <v>160</v>
      </c>
      <c r="K94" s="82">
        <v>0.7</v>
      </c>
      <c r="L94" s="82">
        <v>0.7</v>
      </c>
      <c r="M94" s="82">
        <v>0.5</v>
      </c>
      <c r="N94" s="36"/>
    </row>
    <row r="95" spans="1:14" ht="20.399999999999999" x14ac:dyDescent="0.25">
      <c r="A95" s="140" t="s">
        <v>1187</v>
      </c>
      <c r="B95" s="195" t="s">
        <v>1265</v>
      </c>
      <c r="C95" s="34" t="s">
        <v>21</v>
      </c>
      <c r="D95" s="141" t="s">
        <v>1269</v>
      </c>
      <c r="E95" s="35">
        <v>1</v>
      </c>
      <c r="F95" s="46" t="s">
        <v>1268</v>
      </c>
      <c r="G95" s="75">
        <v>1</v>
      </c>
      <c r="H95" s="73" t="s">
        <v>14</v>
      </c>
      <c r="I95" s="48">
        <v>160</v>
      </c>
      <c r="J95" s="48">
        <v>160</v>
      </c>
      <c r="K95" s="82">
        <v>0.7</v>
      </c>
      <c r="L95" s="82">
        <v>0.7</v>
      </c>
      <c r="M95" s="82">
        <v>0.5</v>
      </c>
      <c r="N95" s="36"/>
    </row>
    <row r="96" spans="1:14" ht="26.4" x14ac:dyDescent="0.25">
      <c r="A96" s="140" t="s">
        <v>87</v>
      </c>
      <c r="B96" s="140" t="s">
        <v>1019</v>
      </c>
      <c r="C96" s="34" t="s">
        <v>21</v>
      </c>
      <c r="D96" s="35"/>
      <c r="E96" s="35">
        <v>1</v>
      </c>
      <c r="F96" s="46" t="s">
        <v>1277</v>
      </c>
      <c r="G96" s="75">
        <v>1</v>
      </c>
      <c r="H96" s="73" t="s">
        <v>14</v>
      </c>
      <c r="I96" s="48">
        <v>17020</v>
      </c>
      <c r="J96" s="48">
        <v>17020</v>
      </c>
      <c r="K96" s="82">
        <v>8.5299999999999994</v>
      </c>
      <c r="L96" s="82">
        <v>2.73</v>
      </c>
      <c r="M96" s="82">
        <v>2.88</v>
      </c>
      <c r="N96" s="36"/>
    </row>
    <row r="97" spans="1:14" ht="20.399999999999999" x14ac:dyDescent="0.25">
      <c r="A97" s="140" t="s">
        <v>87</v>
      </c>
      <c r="B97" s="140" t="s">
        <v>1019</v>
      </c>
      <c r="C97" s="34" t="s">
        <v>21</v>
      </c>
      <c r="D97" s="35"/>
      <c r="E97" s="35">
        <v>1</v>
      </c>
      <c r="F97" s="46" t="s">
        <v>1039</v>
      </c>
      <c r="G97" s="75">
        <v>1</v>
      </c>
      <c r="H97" s="73" t="s">
        <v>14</v>
      </c>
      <c r="I97" s="48">
        <v>170</v>
      </c>
      <c r="J97" s="48">
        <v>170</v>
      </c>
      <c r="K97" s="82">
        <v>2.65</v>
      </c>
      <c r="L97" s="82">
        <v>0.25</v>
      </c>
      <c r="M97" s="82">
        <v>0.45</v>
      </c>
      <c r="N97" s="36"/>
    </row>
    <row r="98" spans="1:14" ht="20.399999999999999" x14ac:dyDescent="0.25">
      <c r="A98" s="140" t="s">
        <v>87</v>
      </c>
      <c r="B98" s="140" t="s">
        <v>1019</v>
      </c>
      <c r="C98" s="34" t="s">
        <v>21</v>
      </c>
      <c r="D98" s="35"/>
      <c r="E98" s="35">
        <v>1</v>
      </c>
      <c r="F98" s="46" t="s">
        <v>1040</v>
      </c>
      <c r="G98" s="75">
        <v>1</v>
      </c>
      <c r="H98" s="73" t="s">
        <v>14</v>
      </c>
      <c r="I98" s="48">
        <v>190</v>
      </c>
      <c r="J98" s="48">
        <v>190</v>
      </c>
      <c r="K98" s="82">
        <v>6.98</v>
      </c>
      <c r="L98" s="82">
        <v>0.65</v>
      </c>
      <c r="M98" s="82">
        <v>0.4</v>
      </c>
      <c r="N98" s="36"/>
    </row>
    <row r="99" spans="1:14" ht="26.4" x14ac:dyDescent="0.25">
      <c r="A99" s="140" t="s">
        <v>1343</v>
      </c>
      <c r="B99" s="140" t="s">
        <v>1175</v>
      </c>
      <c r="C99" s="34" t="s">
        <v>1176</v>
      </c>
      <c r="D99" s="35" t="s">
        <v>994</v>
      </c>
      <c r="E99" s="35">
        <v>1</v>
      </c>
      <c r="F99" s="46" t="s">
        <v>1177</v>
      </c>
      <c r="G99" s="220">
        <v>1</v>
      </c>
      <c r="H99" s="182" t="s">
        <v>14</v>
      </c>
      <c r="I99" s="48">
        <v>7400</v>
      </c>
      <c r="J99" s="51">
        <v>7400</v>
      </c>
      <c r="K99" s="82">
        <v>4.5199999999999996</v>
      </c>
      <c r="L99" s="82">
        <v>2.2999999999999998</v>
      </c>
      <c r="M99" s="82">
        <v>2.4500000000000002</v>
      </c>
      <c r="N99" s="36"/>
    </row>
    <row r="100" spans="1:14" ht="20.399999999999999" x14ac:dyDescent="0.25">
      <c r="A100" s="140" t="s">
        <v>1343</v>
      </c>
      <c r="B100" s="140" t="s">
        <v>1175</v>
      </c>
      <c r="C100" s="34" t="s">
        <v>21</v>
      </c>
      <c r="D100" s="35" t="s">
        <v>994</v>
      </c>
      <c r="E100" s="35">
        <v>1</v>
      </c>
      <c r="F100" s="46" t="s">
        <v>1178</v>
      </c>
      <c r="G100" s="224">
        <v>1</v>
      </c>
      <c r="H100" s="187" t="s">
        <v>14</v>
      </c>
      <c r="I100" s="48">
        <v>122</v>
      </c>
      <c r="J100" s="51">
        <v>122</v>
      </c>
      <c r="K100" s="82">
        <v>3.07</v>
      </c>
      <c r="L100" s="82">
        <v>0.53</v>
      </c>
      <c r="M100" s="82">
        <v>0.32</v>
      </c>
      <c r="N100" s="36"/>
    </row>
    <row r="101" spans="1:14" ht="20.399999999999999" x14ac:dyDescent="0.25">
      <c r="A101" s="140" t="s">
        <v>1343</v>
      </c>
      <c r="B101" s="140" t="s">
        <v>1175</v>
      </c>
      <c r="C101" s="34" t="s">
        <v>21</v>
      </c>
      <c r="D101" s="35" t="s">
        <v>994</v>
      </c>
      <c r="E101" s="35">
        <v>1</v>
      </c>
      <c r="F101" s="46" t="s">
        <v>1179</v>
      </c>
      <c r="G101" s="220">
        <v>1</v>
      </c>
      <c r="H101" s="182" t="s">
        <v>14</v>
      </c>
      <c r="I101" s="48">
        <v>128</v>
      </c>
      <c r="J101" s="51">
        <v>128</v>
      </c>
      <c r="K101" s="82">
        <v>2.21</v>
      </c>
      <c r="L101" s="82">
        <v>0.23</v>
      </c>
      <c r="M101" s="82">
        <v>0.41</v>
      </c>
      <c r="N101" s="36"/>
    </row>
    <row r="102" spans="1:14" ht="20.399999999999999" x14ac:dyDescent="0.25">
      <c r="A102" s="140" t="s">
        <v>1623</v>
      </c>
      <c r="B102" s="140" t="s">
        <v>1584</v>
      </c>
      <c r="C102" s="34" t="s">
        <v>1261</v>
      </c>
      <c r="D102" s="35" t="s">
        <v>1612</v>
      </c>
      <c r="E102" s="35">
        <v>1</v>
      </c>
      <c r="F102" s="46" t="s">
        <v>1613</v>
      </c>
      <c r="G102" s="75">
        <v>1</v>
      </c>
      <c r="H102" s="76" t="s">
        <v>1593</v>
      </c>
      <c r="I102" s="48">
        <v>24885</v>
      </c>
      <c r="J102" s="48">
        <v>25485</v>
      </c>
      <c r="K102" s="82">
        <v>8</v>
      </c>
      <c r="L102" s="82">
        <v>3.75</v>
      </c>
      <c r="M102" s="82">
        <v>3.75</v>
      </c>
      <c r="N102" s="36"/>
    </row>
    <row r="103" spans="1:14" ht="26.4" x14ac:dyDescent="0.25">
      <c r="A103" s="140" t="s">
        <v>1623</v>
      </c>
      <c r="B103" s="140" t="s">
        <v>1584</v>
      </c>
      <c r="C103" s="34" t="s">
        <v>97</v>
      </c>
      <c r="D103" s="35" t="s">
        <v>1612</v>
      </c>
      <c r="E103" s="35">
        <v>1</v>
      </c>
      <c r="F103" s="46" t="s">
        <v>1614</v>
      </c>
      <c r="G103" s="75">
        <v>1</v>
      </c>
      <c r="H103" s="76" t="s">
        <v>1593</v>
      </c>
      <c r="I103" s="48">
        <v>410</v>
      </c>
      <c r="J103" s="48">
        <v>410</v>
      </c>
      <c r="K103" s="82">
        <v>3.15</v>
      </c>
      <c r="L103" s="82">
        <v>0.25</v>
      </c>
      <c r="M103" s="82">
        <v>0.41</v>
      </c>
    </row>
    <row r="104" spans="1:14" ht="26.4" x14ac:dyDescent="0.25">
      <c r="A104" s="140" t="s">
        <v>1623</v>
      </c>
      <c r="B104" s="140" t="s">
        <v>1584</v>
      </c>
      <c r="C104" s="34" t="s">
        <v>97</v>
      </c>
      <c r="D104" s="35" t="s">
        <v>1612</v>
      </c>
      <c r="E104" s="35">
        <v>1</v>
      </c>
      <c r="F104" s="46" t="s">
        <v>1615</v>
      </c>
      <c r="G104" s="128">
        <v>1</v>
      </c>
      <c r="H104" s="129" t="s">
        <v>1616</v>
      </c>
      <c r="I104" s="48">
        <v>230</v>
      </c>
      <c r="J104" s="48">
        <v>230</v>
      </c>
      <c r="K104" s="82">
        <v>6.11</v>
      </c>
      <c r="L104" s="82">
        <v>0.65</v>
      </c>
      <c r="M104" s="82">
        <v>0.4</v>
      </c>
    </row>
    <row r="105" spans="1:14" ht="26.4" x14ac:dyDescent="0.25">
      <c r="A105" s="140" t="s">
        <v>1624</v>
      </c>
      <c r="B105" s="140" t="s">
        <v>1584</v>
      </c>
      <c r="C105" s="34" t="s">
        <v>1261</v>
      </c>
      <c r="D105" s="35" t="s">
        <v>1617</v>
      </c>
      <c r="E105" s="35">
        <v>1</v>
      </c>
      <c r="F105" s="46" t="s">
        <v>1618</v>
      </c>
      <c r="G105" s="75">
        <v>1</v>
      </c>
      <c r="H105" s="76" t="s">
        <v>1593</v>
      </c>
      <c r="I105" s="51">
        <v>11320</v>
      </c>
      <c r="J105" s="51">
        <v>11320</v>
      </c>
      <c r="K105" s="82">
        <v>6.04</v>
      </c>
      <c r="L105" s="82">
        <v>2.89</v>
      </c>
      <c r="M105" s="82">
        <v>2.81</v>
      </c>
    </row>
    <row r="106" spans="1:14" ht="26.4" x14ac:dyDescent="0.25">
      <c r="A106" s="140" t="s">
        <v>1624</v>
      </c>
      <c r="B106" s="140" t="s">
        <v>1584</v>
      </c>
      <c r="C106" s="34" t="s">
        <v>97</v>
      </c>
      <c r="D106" s="35" t="s">
        <v>1617</v>
      </c>
      <c r="E106" s="35">
        <v>1</v>
      </c>
      <c r="F106" s="46" t="s">
        <v>1619</v>
      </c>
      <c r="G106" s="75">
        <v>1</v>
      </c>
      <c r="H106" s="76" t="s">
        <v>1593</v>
      </c>
      <c r="I106" s="51">
        <v>138</v>
      </c>
      <c r="J106" s="51">
        <v>138</v>
      </c>
      <c r="K106" s="82">
        <v>2.4</v>
      </c>
      <c r="L106" s="82">
        <v>0.23</v>
      </c>
      <c r="M106" s="82">
        <v>0.41</v>
      </c>
    </row>
    <row r="107" spans="1:14" ht="26.4" x14ac:dyDescent="0.25">
      <c r="A107" s="140" t="s">
        <v>1624</v>
      </c>
      <c r="B107" s="140" t="s">
        <v>1584</v>
      </c>
      <c r="C107" s="34" t="s">
        <v>97</v>
      </c>
      <c r="D107" s="35" t="s">
        <v>1617</v>
      </c>
      <c r="E107" s="35">
        <v>1</v>
      </c>
      <c r="F107" s="46" t="s">
        <v>1620</v>
      </c>
      <c r="G107" s="75">
        <v>1</v>
      </c>
      <c r="H107" s="76" t="s">
        <v>1593</v>
      </c>
      <c r="I107" s="48">
        <v>110</v>
      </c>
      <c r="J107" s="48">
        <v>110</v>
      </c>
      <c r="K107" s="82">
        <v>4.78</v>
      </c>
      <c r="L107" s="82">
        <v>0.65</v>
      </c>
      <c r="M107" s="82">
        <v>0.4</v>
      </c>
    </row>
    <row r="108" spans="1:14" ht="183.6" x14ac:dyDescent="0.25">
      <c r="A108" s="140" t="s">
        <v>1624</v>
      </c>
      <c r="B108" s="140" t="s">
        <v>1584</v>
      </c>
      <c r="C108" s="34" t="s">
        <v>942</v>
      </c>
      <c r="D108" s="35" t="s">
        <v>1617</v>
      </c>
      <c r="E108" s="35">
        <v>1</v>
      </c>
      <c r="F108" s="164" t="s">
        <v>1621</v>
      </c>
      <c r="G108" s="75">
        <v>114</v>
      </c>
      <c r="H108" s="73" t="s">
        <v>1622</v>
      </c>
      <c r="I108" s="48">
        <v>70</v>
      </c>
      <c r="J108" s="48">
        <v>80</v>
      </c>
      <c r="K108" s="82">
        <v>0.8</v>
      </c>
      <c r="L108" s="82">
        <v>0.45</v>
      </c>
      <c r="M108" s="82">
        <v>0.67</v>
      </c>
    </row>
    <row r="109" spans="1:14" ht="105.6" x14ac:dyDescent="0.25">
      <c r="A109" s="140" t="s">
        <v>1648</v>
      </c>
      <c r="B109" s="140" t="s">
        <v>1584</v>
      </c>
      <c r="C109" s="34" t="s">
        <v>21</v>
      </c>
      <c r="D109" s="35" t="s">
        <v>1646</v>
      </c>
      <c r="E109" s="35">
        <v>1</v>
      </c>
      <c r="F109" s="46" t="s">
        <v>1647</v>
      </c>
      <c r="G109" s="75">
        <v>6</v>
      </c>
      <c r="H109" s="73" t="s">
        <v>14</v>
      </c>
      <c r="I109" s="48">
        <v>2205</v>
      </c>
      <c r="J109" s="48">
        <v>2205</v>
      </c>
      <c r="K109" s="82">
        <v>2.4500000000000002</v>
      </c>
      <c r="L109" s="82">
        <v>1.45</v>
      </c>
      <c r="M109" s="82">
        <v>1.8</v>
      </c>
    </row>
    <row r="110" spans="1:14" ht="20.399999999999999" x14ac:dyDescent="0.25">
      <c r="A110" s="140" t="s">
        <v>1659</v>
      </c>
      <c r="B110" s="140" t="s">
        <v>1660</v>
      </c>
      <c r="C110" s="34" t="s">
        <v>1261</v>
      </c>
      <c r="D110" s="35" t="s">
        <v>994</v>
      </c>
      <c r="E110" s="35">
        <v>1</v>
      </c>
      <c r="F110" s="161" t="s">
        <v>1663</v>
      </c>
      <c r="G110" s="75">
        <v>1</v>
      </c>
      <c r="H110" s="76" t="s">
        <v>1593</v>
      </c>
      <c r="I110" s="51">
        <v>10840</v>
      </c>
      <c r="J110" s="51">
        <v>10840</v>
      </c>
      <c r="K110" s="82">
        <v>6.04</v>
      </c>
      <c r="L110" s="82">
        <v>2.4</v>
      </c>
      <c r="M110" s="82">
        <v>2.7</v>
      </c>
    </row>
    <row r="111" spans="1:14" ht="20.399999999999999" x14ac:dyDescent="0.25">
      <c r="A111" s="140" t="s">
        <v>1659</v>
      </c>
      <c r="B111" s="140" t="s">
        <v>1660</v>
      </c>
      <c r="C111" s="34" t="s">
        <v>97</v>
      </c>
      <c r="D111" s="35" t="s">
        <v>994</v>
      </c>
      <c r="E111" s="35">
        <v>1</v>
      </c>
      <c r="F111" s="161" t="s">
        <v>1661</v>
      </c>
      <c r="G111" s="172">
        <v>1</v>
      </c>
      <c r="H111" s="76" t="s">
        <v>1593</v>
      </c>
      <c r="I111" s="51">
        <v>134</v>
      </c>
      <c r="J111" s="51">
        <v>134</v>
      </c>
      <c r="K111" s="82">
        <v>2.4</v>
      </c>
      <c r="L111" s="82">
        <v>0.23</v>
      </c>
      <c r="M111" s="82">
        <v>0.41</v>
      </c>
    </row>
    <row r="112" spans="1:14" ht="20.399999999999999" x14ac:dyDescent="0.25">
      <c r="A112" s="140" t="s">
        <v>1659</v>
      </c>
      <c r="B112" s="140" t="s">
        <v>1660</v>
      </c>
      <c r="C112" s="34" t="s">
        <v>97</v>
      </c>
      <c r="D112" s="35" t="s">
        <v>1617</v>
      </c>
      <c r="E112" s="35">
        <v>1</v>
      </c>
      <c r="F112" s="161" t="s">
        <v>1662</v>
      </c>
      <c r="G112" s="172">
        <v>1</v>
      </c>
      <c r="H112" s="76" t="s">
        <v>1593</v>
      </c>
      <c r="I112" s="48">
        <v>110</v>
      </c>
      <c r="J112" s="48">
        <v>110</v>
      </c>
      <c r="K112" s="82">
        <v>4.78</v>
      </c>
      <c r="L112" s="82">
        <v>0.65</v>
      </c>
      <c r="M112" s="82">
        <v>0.4</v>
      </c>
    </row>
    <row r="113" spans="1:13" ht="13.8" x14ac:dyDescent="0.25">
      <c r="A113" s="140"/>
      <c r="B113" s="140"/>
      <c r="C113" s="34"/>
      <c r="D113" s="35"/>
      <c r="E113" s="35"/>
      <c r="F113" s="164"/>
      <c r="G113" s="75"/>
      <c r="H113" s="73"/>
      <c r="I113" s="48"/>
      <c r="J113" s="48"/>
      <c r="K113" s="82"/>
      <c r="L113" s="82"/>
      <c r="M113" s="82"/>
    </row>
    <row r="114" spans="1:13" ht="13.8" x14ac:dyDescent="0.25">
      <c r="A114" s="140"/>
      <c r="B114" s="140"/>
      <c r="C114" s="34"/>
      <c r="D114" s="35"/>
      <c r="E114" s="35"/>
      <c r="F114" s="164"/>
      <c r="G114" s="75"/>
      <c r="H114" s="73"/>
      <c r="I114" s="48"/>
      <c r="J114" s="48"/>
      <c r="K114" s="82"/>
      <c r="L114" s="82"/>
      <c r="M114" s="82"/>
    </row>
    <row r="115" spans="1:13" ht="13.8" x14ac:dyDescent="0.25">
      <c r="A115" s="140"/>
      <c r="B115" s="140"/>
      <c r="C115" s="34"/>
      <c r="D115" s="35"/>
      <c r="E115" s="35"/>
      <c r="F115" s="164"/>
      <c r="G115" s="75"/>
      <c r="H115" s="73"/>
      <c r="I115" s="48"/>
      <c r="J115" s="48"/>
      <c r="K115" s="82"/>
      <c r="L115" s="82"/>
      <c r="M115" s="82"/>
    </row>
    <row r="116" spans="1:13" ht="13.8" x14ac:dyDescent="0.25">
      <c r="A116" s="140"/>
      <c r="B116" s="140"/>
      <c r="C116" s="34"/>
      <c r="D116" s="35"/>
      <c r="E116" s="35"/>
      <c r="F116" s="164"/>
      <c r="G116" s="75"/>
      <c r="H116" s="73"/>
      <c r="I116" s="48"/>
      <c r="J116" s="48"/>
      <c r="K116" s="82"/>
      <c r="L116" s="82"/>
      <c r="M116" s="82"/>
    </row>
    <row r="117" spans="1:13" ht="13.8" x14ac:dyDescent="0.25">
      <c r="A117" s="140"/>
      <c r="B117" s="140"/>
      <c r="C117" s="34"/>
      <c r="D117" s="35"/>
      <c r="E117" s="35"/>
      <c r="F117" s="164"/>
      <c r="G117" s="75"/>
      <c r="H117" s="73"/>
      <c r="I117" s="48"/>
      <c r="J117" s="48"/>
      <c r="K117" s="82"/>
      <c r="L117" s="82"/>
      <c r="M117" s="82"/>
    </row>
    <row r="118" spans="1:13" ht="13.8" x14ac:dyDescent="0.25">
      <c r="A118" s="140"/>
      <c r="B118" s="140"/>
      <c r="C118" s="34"/>
      <c r="D118" s="35"/>
      <c r="E118" s="35"/>
      <c r="F118" s="164"/>
      <c r="G118" s="75"/>
      <c r="H118" s="73"/>
      <c r="I118" s="48"/>
      <c r="J118" s="48"/>
      <c r="K118" s="82"/>
      <c r="L118" s="82"/>
      <c r="M118" s="82"/>
    </row>
    <row r="119" spans="1:13" ht="13.8" x14ac:dyDescent="0.25">
      <c r="A119" s="140"/>
      <c r="B119" s="140"/>
      <c r="C119" s="34"/>
      <c r="D119" s="35"/>
      <c r="E119" s="35"/>
      <c r="F119" s="164"/>
      <c r="G119" s="75"/>
      <c r="H119" s="73"/>
      <c r="I119" s="48"/>
      <c r="J119" s="48"/>
      <c r="K119" s="82"/>
      <c r="L119" s="82"/>
      <c r="M119" s="82"/>
    </row>
    <row r="120" spans="1:13" ht="13.8" x14ac:dyDescent="0.25">
      <c r="A120" s="140"/>
      <c r="B120" s="140"/>
      <c r="C120" s="34"/>
      <c r="D120" s="35"/>
      <c r="E120" s="35"/>
      <c r="F120" s="164"/>
      <c r="G120" s="75"/>
      <c r="H120" s="73"/>
      <c r="I120" s="48"/>
      <c r="J120" s="48"/>
      <c r="K120" s="82"/>
      <c r="L120" s="82"/>
      <c r="M120" s="82"/>
    </row>
    <row r="121" spans="1:13" ht="13.8" x14ac:dyDescent="0.25">
      <c r="A121" s="140"/>
      <c r="B121" s="140"/>
      <c r="C121" s="34"/>
      <c r="D121" s="35"/>
      <c r="E121" s="35"/>
      <c r="F121" s="164"/>
      <c r="G121" s="75"/>
      <c r="H121" s="73"/>
      <c r="I121" s="48"/>
      <c r="J121" s="48"/>
      <c r="K121" s="82"/>
      <c r="L121" s="82"/>
      <c r="M121" s="82"/>
    </row>
    <row r="122" spans="1:13" ht="13.8" x14ac:dyDescent="0.25">
      <c r="A122" s="140"/>
      <c r="B122" s="140"/>
      <c r="C122" s="34"/>
      <c r="D122" s="35"/>
      <c r="E122" s="35"/>
      <c r="F122" s="164"/>
      <c r="G122" s="75"/>
      <c r="H122" s="73"/>
      <c r="I122" s="48"/>
      <c r="J122" s="48"/>
      <c r="K122" s="82"/>
      <c r="L122" s="82"/>
      <c r="M122" s="82"/>
    </row>
    <row r="123" spans="1:13" x14ac:dyDescent="0.25">
      <c r="F123" s="1"/>
      <c r="G123" s="1"/>
      <c r="H123" s="1"/>
      <c r="I123" s="18"/>
      <c r="J123" s="18"/>
      <c r="K123" s="18"/>
      <c r="L123" s="18"/>
    </row>
    <row r="124" spans="1:13" x14ac:dyDescent="0.25">
      <c r="F124" s="1"/>
      <c r="G124" s="1"/>
      <c r="H124" s="1"/>
      <c r="I124" s="18"/>
      <c r="J124" s="18"/>
      <c r="K124" s="18"/>
      <c r="L124" s="18"/>
    </row>
    <row r="125" spans="1:13" x14ac:dyDescent="0.25">
      <c r="F125" s="1"/>
      <c r="G125" s="1"/>
      <c r="H125" s="1"/>
      <c r="I125" s="18"/>
      <c r="J125" s="18"/>
      <c r="K125" s="18"/>
      <c r="L125" s="18"/>
    </row>
    <row r="126" spans="1:13" x14ac:dyDescent="0.25">
      <c r="F126" s="1"/>
      <c r="G126" s="1"/>
      <c r="H126" s="1"/>
      <c r="I126" s="18"/>
      <c r="J126" s="18"/>
      <c r="K126" s="18"/>
      <c r="L126" s="18"/>
    </row>
    <row r="127" spans="1:13" x14ac:dyDescent="0.25">
      <c r="F127" s="1"/>
      <c r="G127" s="1"/>
      <c r="H127" s="1"/>
      <c r="I127" s="18"/>
      <c r="J127" s="18"/>
      <c r="K127" s="18"/>
      <c r="L127" s="18"/>
    </row>
    <row r="128" spans="1:13" x14ac:dyDescent="0.25">
      <c r="F128" s="1"/>
      <c r="G128" s="1"/>
      <c r="H128" s="1"/>
      <c r="I128" s="18"/>
      <c r="J128" s="18"/>
      <c r="K128" s="18"/>
      <c r="L128" s="18"/>
    </row>
    <row r="129" spans="6:12" x14ac:dyDescent="0.25">
      <c r="F129" s="1"/>
      <c r="G129" s="1"/>
      <c r="H129" s="1"/>
      <c r="I129" s="18"/>
      <c r="J129" s="18"/>
      <c r="K129" s="18"/>
      <c r="L129" s="18"/>
    </row>
    <row r="130" spans="6:12" x14ac:dyDescent="0.25">
      <c r="F130" s="1"/>
      <c r="G130" s="1"/>
      <c r="H130" s="1"/>
      <c r="I130" s="18"/>
      <c r="J130" s="18"/>
      <c r="K130" s="18"/>
      <c r="L130" s="18"/>
    </row>
    <row r="131" spans="6:12" x14ac:dyDescent="0.25">
      <c r="F131" s="1"/>
      <c r="G131" s="1"/>
      <c r="H131" s="1"/>
      <c r="I131" s="18"/>
      <c r="J131" s="18"/>
      <c r="K131" s="18"/>
      <c r="L131" s="18"/>
    </row>
    <row r="132" spans="6:12" x14ac:dyDescent="0.25">
      <c r="F132" s="1"/>
      <c r="G132" s="1"/>
      <c r="H132" s="1"/>
      <c r="I132" s="18"/>
      <c r="J132" s="18"/>
      <c r="K132" s="18"/>
      <c r="L132" s="18"/>
    </row>
    <row r="133" spans="6:12" x14ac:dyDescent="0.25">
      <c r="F133" s="1"/>
      <c r="G133" s="1"/>
      <c r="H133" s="1"/>
      <c r="I133" s="18"/>
      <c r="J133" s="18"/>
      <c r="K133" s="18"/>
      <c r="L133" s="18"/>
    </row>
    <row r="134" spans="6:12" x14ac:dyDescent="0.25">
      <c r="F134" s="1"/>
      <c r="G134" s="1"/>
      <c r="H134" s="1"/>
      <c r="I134" s="18"/>
      <c r="J134" s="18"/>
      <c r="K134" s="18"/>
      <c r="L134" s="18"/>
    </row>
    <row r="135" spans="6:12" x14ac:dyDescent="0.25">
      <c r="F135" s="1"/>
      <c r="G135" s="1"/>
      <c r="H135" s="1"/>
      <c r="J135" s="18"/>
      <c r="K135" s="18"/>
      <c r="L135"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5272-9532-4EFA-A5D3-E3AA39FD3CCF}">
  <dimension ref="A1:P91"/>
  <sheetViews>
    <sheetView zoomScaleNormal="100" workbookViewId="0">
      <selection sqref="A1:A1048576"/>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1741</v>
      </c>
      <c r="M1" s="81" t="s">
        <v>1742</v>
      </c>
      <c r="N1" s="39" t="s">
        <v>124</v>
      </c>
      <c r="O1" s="7"/>
      <c r="P1" s="7"/>
    </row>
    <row r="2" spans="1:16" s="8" customFormat="1" ht="20.399999999999999" x14ac:dyDescent="0.25">
      <c r="A2" s="140" t="s">
        <v>952</v>
      </c>
      <c r="B2" s="140"/>
      <c r="C2" s="34" t="s">
        <v>21</v>
      </c>
      <c r="D2" s="35" t="s">
        <v>54</v>
      </c>
      <c r="E2" s="35">
        <v>1</v>
      </c>
      <c r="F2" s="46" t="s">
        <v>6</v>
      </c>
      <c r="G2" s="75">
        <v>1</v>
      </c>
      <c r="H2" s="76" t="s">
        <v>14</v>
      </c>
      <c r="I2" s="52">
        <v>10060</v>
      </c>
      <c r="J2" s="52">
        <v>10060</v>
      </c>
      <c r="K2" s="82">
        <v>2.33</v>
      </c>
      <c r="L2" s="82">
        <v>2</v>
      </c>
      <c r="M2" s="82">
        <v>2.5</v>
      </c>
      <c r="N2" s="36" t="s">
        <v>1</v>
      </c>
    </row>
    <row r="3" spans="1:16" s="8" customFormat="1" ht="20.399999999999999" x14ac:dyDescent="0.25">
      <c r="A3" s="140" t="s">
        <v>952</v>
      </c>
      <c r="B3" s="140" t="s">
        <v>109</v>
      </c>
      <c r="C3" s="34" t="s">
        <v>21</v>
      </c>
      <c r="D3" s="35" t="s">
        <v>54</v>
      </c>
      <c r="E3" s="35">
        <v>1</v>
      </c>
      <c r="F3" s="46" t="s">
        <v>110</v>
      </c>
      <c r="G3" s="75">
        <v>1</v>
      </c>
      <c r="H3" s="76" t="s">
        <v>14</v>
      </c>
      <c r="I3" s="52">
        <v>10692</v>
      </c>
      <c r="J3" s="52">
        <v>10692</v>
      </c>
      <c r="K3" s="82">
        <v>2.33</v>
      </c>
      <c r="L3" s="82">
        <v>2</v>
      </c>
      <c r="M3" s="82">
        <v>2.5</v>
      </c>
      <c r="N3" s="36" t="s">
        <v>2</v>
      </c>
    </row>
    <row r="4" spans="1:16" s="8" customFormat="1" ht="20.399999999999999" x14ac:dyDescent="0.25">
      <c r="A4" s="140" t="s">
        <v>952</v>
      </c>
      <c r="B4" s="140" t="s">
        <v>429</v>
      </c>
      <c r="C4" s="34" t="s">
        <v>21</v>
      </c>
      <c r="D4" s="35" t="s">
        <v>54</v>
      </c>
      <c r="E4" s="35">
        <v>1</v>
      </c>
      <c r="F4" s="46" t="s">
        <v>110</v>
      </c>
      <c r="G4" s="75">
        <v>1</v>
      </c>
      <c r="H4" s="76" t="s">
        <v>14</v>
      </c>
      <c r="I4" s="52">
        <v>10960</v>
      </c>
      <c r="J4" s="52">
        <v>10960</v>
      </c>
      <c r="K4" s="82">
        <v>2.33</v>
      </c>
      <c r="L4" s="82">
        <v>2</v>
      </c>
      <c r="M4" s="82">
        <v>2.5</v>
      </c>
      <c r="N4" s="36" t="s">
        <v>2</v>
      </c>
    </row>
    <row r="5" spans="1:16" s="8" customFormat="1" ht="20.399999999999999" x14ac:dyDescent="0.25">
      <c r="A5" s="140" t="s">
        <v>952</v>
      </c>
      <c r="B5" s="140"/>
      <c r="C5" s="34" t="s">
        <v>21</v>
      </c>
      <c r="D5" s="35" t="s">
        <v>54</v>
      </c>
      <c r="E5" s="35">
        <v>1</v>
      </c>
      <c r="F5" s="46" t="s">
        <v>7</v>
      </c>
      <c r="G5" s="75">
        <v>1</v>
      </c>
      <c r="H5" s="76" t="s">
        <v>14</v>
      </c>
      <c r="I5" s="52">
        <v>2030</v>
      </c>
      <c r="J5" s="52">
        <v>2030</v>
      </c>
      <c r="K5" s="82"/>
      <c r="L5" s="82"/>
      <c r="M5" s="82"/>
      <c r="N5" s="36" t="s">
        <v>2</v>
      </c>
    </row>
    <row r="6" spans="1:16" s="8" customFormat="1" ht="20.399999999999999" x14ac:dyDescent="0.25">
      <c r="A6" s="140" t="s">
        <v>952</v>
      </c>
      <c r="B6" s="140"/>
      <c r="C6" s="34" t="s">
        <v>21</v>
      </c>
      <c r="D6" s="35" t="s">
        <v>54</v>
      </c>
      <c r="E6" s="35">
        <v>1</v>
      </c>
      <c r="F6" s="46" t="s">
        <v>7</v>
      </c>
      <c r="G6" s="75">
        <v>1</v>
      </c>
      <c r="H6" s="76" t="s">
        <v>14</v>
      </c>
      <c r="I6" s="52">
        <v>2050</v>
      </c>
      <c r="J6" s="52">
        <v>2050</v>
      </c>
      <c r="K6" s="82"/>
      <c r="L6" s="82"/>
      <c r="M6" s="82"/>
      <c r="N6" s="36" t="s">
        <v>1</v>
      </c>
    </row>
    <row r="7" spans="1:16" s="8" customFormat="1" ht="20.399999999999999" x14ac:dyDescent="0.25">
      <c r="A7" s="140" t="s">
        <v>952</v>
      </c>
      <c r="B7" s="140"/>
      <c r="C7" s="34" t="s">
        <v>21</v>
      </c>
      <c r="D7" s="35" t="s">
        <v>54</v>
      </c>
      <c r="E7" s="35">
        <v>1</v>
      </c>
      <c r="F7" s="46" t="s">
        <v>104</v>
      </c>
      <c r="G7" s="75">
        <v>1</v>
      </c>
      <c r="H7" s="76" t="s">
        <v>14</v>
      </c>
      <c r="I7" s="52">
        <v>165</v>
      </c>
      <c r="J7" s="52">
        <v>165</v>
      </c>
      <c r="K7" s="82"/>
      <c r="L7" s="82"/>
      <c r="M7" s="82"/>
      <c r="N7" s="37" t="s">
        <v>2</v>
      </c>
    </row>
    <row r="8" spans="1:16" s="8" customFormat="1" ht="26.4" x14ac:dyDescent="0.25">
      <c r="A8" s="140" t="s">
        <v>951</v>
      </c>
      <c r="B8" s="140"/>
      <c r="C8" s="34" t="s">
        <v>21</v>
      </c>
      <c r="D8" s="35" t="s">
        <v>54</v>
      </c>
      <c r="E8" s="35">
        <v>1</v>
      </c>
      <c r="F8" s="46" t="s">
        <v>105</v>
      </c>
      <c r="G8" s="75">
        <v>1</v>
      </c>
      <c r="H8" s="76" t="s">
        <v>14</v>
      </c>
      <c r="I8" s="52">
        <v>62</v>
      </c>
      <c r="J8" s="52">
        <v>62</v>
      </c>
      <c r="K8" s="82"/>
      <c r="L8" s="82"/>
      <c r="M8" s="82"/>
      <c r="N8" s="37" t="s">
        <v>2</v>
      </c>
    </row>
    <row r="9" spans="1:16" s="8" customFormat="1" ht="20.399999999999999" x14ac:dyDescent="0.25">
      <c r="A9" s="140" t="s">
        <v>951</v>
      </c>
      <c r="B9" s="140"/>
      <c r="C9" s="34" t="s">
        <v>21</v>
      </c>
      <c r="D9" s="35"/>
      <c r="E9" s="35">
        <v>1</v>
      </c>
      <c r="F9" s="46" t="s">
        <v>84</v>
      </c>
      <c r="G9" s="75">
        <v>1</v>
      </c>
      <c r="H9" s="76" t="s">
        <v>14</v>
      </c>
      <c r="I9" s="52">
        <v>3165</v>
      </c>
      <c r="J9" s="52">
        <v>3165</v>
      </c>
      <c r="K9" s="82"/>
      <c r="L9" s="82"/>
      <c r="M9" s="82"/>
      <c r="N9" s="37" t="s">
        <v>85</v>
      </c>
    </row>
    <row r="10" spans="1:16" s="8" customFormat="1" ht="26.4" x14ac:dyDescent="0.25">
      <c r="A10" s="140" t="s">
        <v>951</v>
      </c>
      <c r="B10" s="140" t="s">
        <v>611</v>
      </c>
      <c r="C10" s="34" t="s">
        <v>21</v>
      </c>
      <c r="D10" s="35" t="s">
        <v>612</v>
      </c>
      <c r="E10" s="35">
        <v>1</v>
      </c>
      <c r="F10" s="46" t="s">
        <v>1007</v>
      </c>
      <c r="G10" s="75">
        <v>1</v>
      </c>
      <c r="H10" s="76" t="s">
        <v>14</v>
      </c>
      <c r="I10" s="52">
        <v>3335</v>
      </c>
      <c r="J10" s="52">
        <v>3335</v>
      </c>
      <c r="K10" s="82"/>
      <c r="L10" s="82"/>
      <c r="M10" s="82"/>
      <c r="N10" s="37" t="s">
        <v>85</v>
      </c>
    </row>
    <row r="11" spans="1:16" s="8" customFormat="1" ht="26.4" x14ac:dyDescent="0.25">
      <c r="A11" s="140" t="s">
        <v>951</v>
      </c>
      <c r="B11" s="140" t="s">
        <v>611</v>
      </c>
      <c r="C11" s="34" t="s">
        <v>21</v>
      </c>
      <c r="D11" s="35" t="s">
        <v>612</v>
      </c>
      <c r="E11" s="35">
        <v>1</v>
      </c>
      <c r="F11" s="46" t="s">
        <v>671</v>
      </c>
      <c r="G11" s="75">
        <v>1</v>
      </c>
      <c r="H11" s="76" t="s">
        <v>14</v>
      </c>
      <c r="I11" s="52">
        <v>3355</v>
      </c>
      <c r="J11" s="52">
        <v>3355</v>
      </c>
      <c r="K11" s="82"/>
      <c r="L11" s="82"/>
      <c r="M11" s="82"/>
      <c r="N11" s="37" t="s">
        <v>85</v>
      </c>
    </row>
    <row r="12" spans="1:16" s="8" customFormat="1" ht="26.4" x14ac:dyDescent="0.25">
      <c r="A12" s="140" t="s">
        <v>951</v>
      </c>
      <c r="B12" s="140" t="s">
        <v>611</v>
      </c>
      <c r="C12" s="34" t="s">
        <v>21</v>
      </c>
      <c r="D12" s="35" t="s">
        <v>612</v>
      </c>
      <c r="E12" s="35">
        <v>1</v>
      </c>
      <c r="F12" s="46" t="s">
        <v>670</v>
      </c>
      <c r="G12" s="75">
        <v>1</v>
      </c>
      <c r="H12" s="76" t="s">
        <v>14</v>
      </c>
      <c r="I12" s="52">
        <v>215</v>
      </c>
      <c r="J12" s="52">
        <v>215</v>
      </c>
      <c r="K12" s="82"/>
      <c r="L12" s="82"/>
      <c r="M12" s="82"/>
      <c r="N12" s="37" t="s">
        <v>85</v>
      </c>
    </row>
    <row r="13" spans="1:16" s="8" customFormat="1" ht="26.4" x14ac:dyDescent="0.25">
      <c r="A13" s="140" t="s">
        <v>951</v>
      </c>
      <c r="B13" s="140" t="s">
        <v>611</v>
      </c>
      <c r="C13" s="34" t="s">
        <v>21</v>
      </c>
      <c r="D13" s="35" t="s">
        <v>612</v>
      </c>
      <c r="E13" s="35">
        <v>1</v>
      </c>
      <c r="F13" s="46" t="s">
        <v>670</v>
      </c>
      <c r="G13" s="75">
        <v>1</v>
      </c>
      <c r="H13" s="76" t="s">
        <v>14</v>
      </c>
      <c r="I13" s="52">
        <v>210</v>
      </c>
      <c r="J13" s="52">
        <v>210</v>
      </c>
      <c r="K13" s="82"/>
      <c r="L13" s="82"/>
      <c r="M13" s="82"/>
      <c r="N13" s="37" t="s">
        <v>85</v>
      </c>
    </row>
    <row r="14" spans="1:16" s="8" customFormat="1" ht="26.4" x14ac:dyDescent="0.25">
      <c r="A14" s="140" t="s">
        <v>951</v>
      </c>
      <c r="B14" s="140" t="s">
        <v>611</v>
      </c>
      <c r="C14" s="34" t="s">
        <v>21</v>
      </c>
      <c r="D14" s="35" t="s">
        <v>612</v>
      </c>
      <c r="E14" s="35">
        <v>1</v>
      </c>
      <c r="F14" s="46" t="s">
        <v>670</v>
      </c>
      <c r="G14" s="75">
        <v>1</v>
      </c>
      <c r="H14" s="76" t="s">
        <v>14</v>
      </c>
      <c r="I14" s="52">
        <v>200</v>
      </c>
      <c r="J14" s="52">
        <v>200</v>
      </c>
      <c r="K14" s="82"/>
      <c r="L14" s="82"/>
      <c r="M14" s="82"/>
      <c r="N14" s="37" t="s">
        <v>85</v>
      </c>
    </row>
    <row r="15" spans="1:16" s="8" customFormat="1" ht="26.4" x14ac:dyDescent="0.25">
      <c r="A15" s="140" t="s">
        <v>951</v>
      </c>
      <c r="B15" s="140" t="s">
        <v>611</v>
      </c>
      <c r="C15" s="34" t="s">
        <v>21</v>
      </c>
      <c r="D15" s="35" t="s">
        <v>612</v>
      </c>
      <c r="E15" s="35">
        <v>1</v>
      </c>
      <c r="F15" s="46" t="s">
        <v>672</v>
      </c>
      <c r="G15" s="75">
        <v>1</v>
      </c>
      <c r="H15" s="76" t="s">
        <v>14</v>
      </c>
      <c r="I15" s="52">
        <v>140</v>
      </c>
      <c r="J15" s="52">
        <v>140</v>
      </c>
      <c r="K15" s="82"/>
      <c r="L15" s="82"/>
      <c r="M15" s="82"/>
      <c r="N15" s="37" t="s">
        <v>85</v>
      </c>
    </row>
    <row r="16" spans="1:16" s="8" customFormat="1" ht="26.4" x14ac:dyDescent="0.25">
      <c r="A16" s="140" t="s">
        <v>951</v>
      </c>
      <c r="B16" s="140" t="s">
        <v>611</v>
      </c>
      <c r="C16" s="34" t="s">
        <v>21</v>
      </c>
      <c r="D16" s="35" t="s">
        <v>612</v>
      </c>
      <c r="E16" s="35">
        <v>1</v>
      </c>
      <c r="F16" s="46" t="s">
        <v>673</v>
      </c>
      <c r="G16" s="75">
        <v>1</v>
      </c>
      <c r="H16" s="76" t="s">
        <v>14</v>
      </c>
      <c r="I16" s="52">
        <v>145</v>
      </c>
      <c r="J16" s="52">
        <v>145</v>
      </c>
      <c r="K16" s="82"/>
      <c r="L16" s="82"/>
      <c r="M16" s="82"/>
      <c r="N16" s="37" t="s">
        <v>85</v>
      </c>
    </row>
    <row r="17" spans="1:14" s="8" customFormat="1" ht="26.4" x14ac:dyDescent="0.25">
      <c r="A17" s="140" t="s">
        <v>951</v>
      </c>
      <c r="B17" s="140" t="s">
        <v>611</v>
      </c>
      <c r="C17" s="34" t="s">
        <v>21</v>
      </c>
      <c r="D17" s="35" t="s">
        <v>612</v>
      </c>
      <c r="E17" s="35">
        <v>1</v>
      </c>
      <c r="F17" s="46" t="s">
        <v>674</v>
      </c>
      <c r="G17" s="75">
        <v>1</v>
      </c>
      <c r="H17" s="76" t="s">
        <v>14</v>
      </c>
      <c r="I17" s="52">
        <v>150</v>
      </c>
      <c r="J17" s="52">
        <v>150</v>
      </c>
      <c r="K17" s="82"/>
      <c r="L17" s="82"/>
      <c r="M17" s="82"/>
      <c r="N17" s="37" t="s">
        <v>85</v>
      </c>
    </row>
    <row r="18" spans="1:14" s="8" customFormat="1" ht="20.399999999999999" x14ac:dyDescent="0.25">
      <c r="A18" s="140" t="s">
        <v>951</v>
      </c>
      <c r="B18" s="140" t="s">
        <v>144</v>
      </c>
      <c r="C18" s="34" t="s">
        <v>21</v>
      </c>
      <c r="D18" s="35" t="s">
        <v>147</v>
      </c>
      <c r="E18" s="35">
        <v>1</v>
      </c>
      <c r="F18" s="46" t="s">
        <v>139</v>
      </c>
      <c r="G18" s="75">
        <v>1</v>
      </c>
      <c r="H18" s="76" t="s">
        <v>14</v>
      </c>
      <c r="I18" s="52">
        <v>20340</v>
      </c>
      <c r="J18" s="52">
        <v>20340</v>
      </c>
      <c r="K18" s="82">
        <v>2.85</v>
      </c>
      <c r="L18" s="82">
        <v>2.4300000000000002</v>
      </c>
      <c r="M18" s="82">
        <v>2.75</v>
      </c>
      <c r="N18" s="37" t="s">
        <v>1</v>
      </c>
    </row>
    <row r="19" spans="1:14" s="8" customFormat="1" ht="26.4" x14ac:dyDescent="0.25">
      <c r="A19" s="140" t="s">
        <v>951</v>
      </c>
      <c r="B19" s="140" t="s">
        <v>144</v>
      </c>
      <c r="C19" s="34" t="s">
        <v>21</v>
      </c>
      <c r="D19" s="35" t="s">
        <v>155</v>
      </c>
      <c r="E19" s="35">
        <v>1</v>
      </c>
      <c r="F19" s="46" t="s">
        <v>515</v>
      </c>
      <c r="G19" s="75">
        <v>1</v>
      </c>
      <c r="H19" s="76" t="s">
        <v>14</v>
      </c>
      <c r="I19" s="48">
        <v>260</v>
      </c>
      <c r="J19" s="48">
        <v>260</v>
      </c>
      <c r="K19" s="82">
        <v>2.33</v>
      </c>
      <c r="L19" s="82">
        <v>0.8</v>
      </c>
      <c r="M19" s="82">
        <v>0.3</v>
      </c>
      <c r="N19" s="37" t="s">
        <v>85</v>
      </c>
    </row>
    <row r="20" spans="1:14" s="8" customFormat="1" ht="20.399999999999999" x14ac:dyDescent="0.25">
      <c r="A20" s="140" t="s">
        <v>951</v>
      </c>
      <c r="B20" s="140" t="s">
        <v>429</v>
      </c>
      <c r="C20" s="34" t="s">
        <v>21</v>
      </c>
      <c r="D20" s="35" t="s">
        <v>430</v>
      </c>
      <c r="E20" s="35">
        <v>1</v>
      </c>
      <c r="F20" s="46" t="s">
        <v>514</v>
      </c>
      <c r="G20" s="128">
        <v>1</v>
      </c>
      <c r="H20" s="76" t="s">
        <v>14</v>
      </c>
      <c r="I20" s="48">
        <v>80</v>
      </c>
      <c r="J20" s="48">
        <v>80</v>
      </c>
      <c r="K20" s="82">
        <v>1.8</v>
      </c>
      <c r="L20" s="82">
        <v>0.55000000000000004</v>
      </c>
      <c r="M20" s="82">
        <v>0.4</v>
      </c>
      <c r="N20" s="36" t="s">
        <v>452</v>
      </c>
    </row>
    <row r="21" spans="1:14" s="8" customFormat="1" ht="20.399999999999999" x14ac:dyDescent="0.25">
      <c r="A21" s="140" t="s">
        <v>952</v>
      </c>
      <c r="B21" s="140" t="s">
        <v>512</v>
      </c>
      <c r="C21" s="34" t="s">
        <v>21</v>
      </c>
      <c r="D21" s="35" t="s">
        <v>513</v>
      </c>
      <c r="E21" s="35">
        <v>1</v>
      </c>
      <c r="F21" s="46" t="s">
        <v>519</v>
      </c>
      <c r="G21" s="128">
        <v>1</v>
      </c>
      <c r="H21" s="76" t="s">
        <v>14</v>
      </c>
      <c r="I21" s="48">
        <v>100</v>
      </c>
      <c r="J21" s="48">
        <v>100</v>
      </c>
      <c r="K21" s="82">
        <v>1.92</v>
      </c>
      <c r="L21" s="82">
        <v>0.8</v>
      </c>
      <c r="M21" s="82">
        <v>0.43</v>
      </c>
      <c r="N21" s="36" t="s">
        <v>85</v>
      </c>
    </row>
    <row r="22" spans="1:14" s="8" customFormat="1" ht="92.4" x14ac:dyDescent="0.25">
      <c r="A22" s="140" t="s">
        <v>952</v>
      </c>
      <c r="B22" s="140" t="s">
        <v>149</v>
      </c>
      <c r="C22" s="34" t="s">
        <v>20</v>
      </c>
      <c r="D22" s="35" t="s">
        <v>147</v>
      </c>
      <c r="E22" s="35">
        <v>1</v>
      </c>
      <c r="F22" s="46" t="s">
        <v>651</v>
      </c>
      <c r="G22" s="75">
        <v>50</v>
      </c>
      <c r="H22" s="76" t="s">
        <v>14</v>
      </c>
      <c r="I22" s="52">
        <v>330</v>
      </c>
      <c r="J22" s="52">
        <v>475</v>
      </c>
      <c r="K22" s="82">
        <v>1.5</v>
      </c>
      <c r="L22" s="82">
        <v>1.2</v>
      </c>
      <c r="M22" s="82">
        <v>1.4</v>
      </c>
      <c r="N22" s="37" t="s">
        <v>148</v>
      </c>
    </row>
    <row r="23" spans="1:14" s="8" customFormat="1" ht="26.4" x14ac:dyDescent="0.25">
      <c r="A23" s="140" t="s">
        <v>952</v>
      </c>
      <c r="B23" s="140"/>
      <c r="C23" s="34" t="s">
        <v>20</v>
      </c>
      <c r="D23" s="35"/>
      <c r="E23" s="35">
        <v>1</v>
      </c>
      <c r="F23" s="46" t="s">
        <v>428</v>
      </c>
      <c r="G23" s="75">
        <v>1</v>
      </c>
      <c r="H23" s="76" t="s">
        <v>14</v>
      </c>
      <c r="I23" s="52">
        <v>2665</v>
      </c>
      <c r="J23" s="52">
        <v>2750</v>
      </c>
      <c r="K23" s="82">
        <v>2.36</v>
      </c>
      <c r="L23" s="82">
        <v>0.73</v>
      </c>
      <c r="M23" s="82">
        <v>0.77</v>
      </c>
      <c r="N23" s="37" t="s">
        <v>85</v>
      </c>
    </row>
    <row r="24" spans="1:14" s="8" customFormat="1" ht="26.4" x14ac:dyDescent="0.25">
      <c r="A24" s="140" t="s">
        <v>951</v>
      </c>
      <c r="B24" s="140" t="s">
        <v>615</v>
      </c>
      <c r="C24" s="34" t="s">
        <v>21</v>
      </c>
      <c r="D24" s="35" t="s">
        <v>68</v>
      </c>
      <c r="E24" s="35">
        <v>1</v>
      </c>
      <c r="F24" s="46" t="s">
        <v>566</v>
      </c>
      <c r="G24" s="75">
        <v>1</v>
      </c>
      <c r="H24" s="76" t="s">
        <v>14</v>
      </c>
      <c r="I24" s="51">
        <v>118</v>
      </c>
      <c r="J24" s="51">
        <v>118</v>
      </c>
      <c r="K24" s="82">
        <v>0.8</v>
      </c>
      <c r="L24" s="82">
        <v>0.56000000000000005</v>
      </c>
      <c r="M24" s="82">
        <v>0.63</v>
      </c>
      <c r="N24" s="38" t="s">
        <v>85</v>
      </c>
    </row>
    <row r="25" spans="1:14" s="8" customFormat="1" ht="20.399999999999999" x14ac:dyDescent="0.25">
      <c r="A25" s="140" t="s">
        <v>951</v>
      </c>
      <c r="B25" s="140" t="s">
        <v>615</v>
      </c>
      <c r="C25" s="34" t="s">
        <v>21</v>
      </c>
      <c r="D25" s="35" t="s">
        <v>68</v>
      </c>
      <c r="E25" s="35">
        <v>1</v>
      </c>
      <c r="F25" s="46" t="s">
        <v>583</v>
      </c>
      <c r="G25" s="75">
        <v>1</v>
      </c>
      <c r="H25" s="76" t="s">
        <v>14</v>
      </c>
      <c r="I25" s="51">
        <v>2</v>
      </c>
      <c r="J25" s="51">
        <v>2</v>
      </c>
      <c r="K25" s="82"/>
      <c r="L25" s="82"/>
      <c r="M25" s="82"/>
      <c r="N25" s="38" t="s">
        <v>584</v>
      </c>
    </row>
    <row r="26" spans="1:14" s="8" customFormat="1" ht="20.399999999999999" x14ac:dyDescent="0.25">
      <c r="A26" s="140" t="s">
        <v>951</v>
      </c>
      <c r="B26" s="140" t="s">
        <v>615</v>
      </c>
      <c r="C26" s="34" t="s">
        <v>21</v>
      </c>
      <c r="D26" s="35" t="s">
        <v>68</v>
      </c>
      <c r="E26" s="35">
        <v>1</v>
      </c>
      <c r="F26" s="46" t="s">
        <v>586</v>
      </c>
      <c r="G26" s="75">
        <v>1</v>
      </c>
      <c r="H26" s="76" t="s">
        <v>14</v>
      </c>
      <c r="I26" s="51">
        <v>3.5</v>
      </c>
      <c r="J26" s="51">
        <v>3.5</v>
      </c>
      <c r="K26" s="82"/>
      <c r="L26" s="82"/>
      <c r="M26" s="82"/>
      <c r="N26" s="38" t="s">
        <v>584</v>
      </c>
    </row>
    <row r="27" spans="1:14" s="8" customFormat="1" ht="26.4" x14ac:dyDescent="0.25">
      <c r="A27" s="140" t="s">
        <v>951</v>
      </c>
      <c r="B27" s="140" t="s">
        <v>615</v>
      </c>
      <c r="C27" s="34" t="s">
        <v>21</v>
      </c>
      <c r="D27" s="35" t="s">
        <v>68</v>
      </c>
      <c r="E27" s="35">
        <v>1</v>
      </c>
      <c r="F27" s="46" t="s">
        <v>585</v>
      </c>
      <c r="G27" s="75">
        <v>1</v>
      </c>
      <c r="H27" s="76" t="s">
        <v>14</v>
      </c>
      <c r="I27" s="51">
        <v>155</v>
      </c>
      <c r="J27" s="51">
        <v>155</v>
      </c>
      <c r="K27" s="82">
        <v>2.02</v>
      </c>
      <c r="L27" s="82">
        <v>0.33</v>
      </c>
      <c r="M27" s="82">
        <v>0.32</v>
      </c>
      <c r="N27" s="38" t="s">
        <v>85</v>
      </c>
    </row>
    <row r="28" spans="1:14" s="8" customFormat="1" ht="20.399999999999999" x14ac:dyDescent="0.25">
      <c r="A28" s="140" t="s">
        <v>951</v>
      </c>
      <c r="B28" s="140" t="s">
        <v>611</v>
      </c>
      <c r="C28" s="34" t="s">
        <v>21</v>
      </c>
      <c r="D28" s="35" t="s">
        <v>612</v>
      </c>
      <c r="E28" s="35">
        <v>1</v>
      </c>
      <c r="F28" s="46" t="s">
        <v>727</v>
      </c>
      <c r="G28" s="128">
        <v>1</v>
      </c>
      <c r="H28" s="76" t="s">
        <v>14</v>
      </c>
      <c r="I28" s="52">
        <v>19800</v>
      </c>
      <c r="J28" s="52">
        <v>19800</v>
      </c>
      <c r="K28" s="82">
        <v>2.85</v>
      </c>
      <c r="L28" s="82">
        <v>2.4300000000000002</v>
      </c>
      <c r="M28" s="82">
        <v>2.75</v>
      </c>
      <c r="N28" s="38" t="s">
        <v>452</v>
      </c>
    </row>
    <row r="29" spans="1:14" s="8" customFormat="1" ht="20.399999999999999" x14ac:dyDescent="0.25">
      <c r="A29" s="140" t="s">
        <v>951</v>
      </c>
      <c r="B29" s="140" t="s">
        <v>611</v>
      </c>
      <c r="C29" s="34" t="s">
        <v>21</v>
      </c>
      <c r="D29" s="35" t="s">
        <v>613</v>
      </c>
      <c r="E29" s="35">
        <v>1</v>
      </c>
      <c r="F29" s="46" t="s">
        <v>727</v>
      </c>
      <c r="G29" s="128">
        <v>1</v>
      </c>
      <c r="H29" s="76" t="s">
        <v>14</v>
      </c>
      <c r="I29" s="52">
        <v>19800</v>
      </c>
      <c r="J29" s="52">
        <v>19800</v>
      </c>
      <c r="K29" s="82">
        <v>2.85</v>
      </c>
      <c r="L29" s="82">
        <v>2.4300000000000002</v>
      </c>
      <c r="M29" s="82">
        <v>2.75</v>
      </c>
      <c r="N29" s="38" t="s">
        <v>452</v>
      </c>
    </row>
    <row r="30" spans="1:14" s="8" customFormat="1" ht="20.399999999999999" x14ac:dyDescent="0.25">
      <c r="A30" s="140" t="s">
        <v>951</v>
      </c>
      <c r="B30" s="140" t="s">
        <v>611</v>
      </c>
      <c r="C30" s="34" t="s">
        <v>21</v>
      </c>
      <c r="D30" s="35" t="s">
        <v>614</v>
      </c>
      <c r="E30" s="35">
        <v>1</v>
      </c>
      <c r="F30" s="46" t="s">
        <v>727</v>
      </c>
      <c r="G30" s="128">
        <v>1</v>
      </c>
      <c r="H30" s="76" t="s">
        <v>14</v>
      </c>
      <c r="I30" s="52">
        <v>19800</v>
      </c>
      <c r="J30" s="52">
        <v>19800</v>
      </c>
      <c r="K30" s="82">
        <v>2.85</v>
      </c>
      <c r="L30" s="82">
        <v>2.4300000000000002</v>
      </c>
      <c r="M30" s="82">
        <v>2.75</v>
      </c>
      <c r="N30" s="38" t="s">
        <v>452</v>
      </c>
    </row>
    <row r="31" spans="1:14" s="8" customFormat="1" ht="20.399999999999999" x14ac:dyDescent="0.25">
      <c r="A31" s="140" t="s">
        <v>950</v>
      </c>
      <c r="B31" s="140" t="s">
        <v>771</v>
      </c>
      <c r="C31" s="34" t="s">
        <v>21</v>
      </c>
      <c r="D31" s="141"/>
      <c r="E31" s="35">
        <v>1</v>
      </c>
      <c r="F31" s="46" t="s">
        <v>796</v>
      </c>
      <c r="G31" s="75">
        <v>1</v>
      </c>
      <c r="H31" s="129" t="s">
        <v>14</v>
      </c>
      <c r="I31" s="48">
        <v>6680</v>
      </c>
      <c r="J31" s="48">
        <v>6680</v>
      </c>
      <c r="K31" s="82"/>
      <c r="L31" s="82"/>
      <c r="M31" s="82"/>
      <c r="N31" s="38" t="s">
        <v>1</v>
      </c>
    </row>
    <row r="32" spans="1:14" s="8" customFormat="1" ht="20.399999999999999" x14ac:dyDescent="0.25">
      <c r="A32" s="140" t="s">
        <v>950</v>
      </c>
      <c r="B32" s="140" t="s">
        <v>771</v>
      </c>
      <c r="C32" s="34" t="s">
        <v>21</v>
      </c>
      <c r="D32" s="141"/>
      <c r="E32" s="35">
        <v>1</v>
      </c>
      <c r="F32" s="46" t="s">
        <v>797</v>
      </c>
      <c r="G32" s="75">
        <v>1</v>
      </c>
      <c r="H32" s="129" t="s">
        <v>14</v>
      </c>
      <c r="I32" s="48">
        <v>475</v>
      </c>
      <c r="J32" s="48">
        <v>475</v>
      </c>
      <c r="K32" s="82"/>
      <c r="L32" s="82"/>
      <c r="M32" s="82"/>
      <c r="N32" s="38" t="s">
        <v>1</v>
      </c>
    </row>
    <row r="33" spans="1:14" s="8" customFormat="1" ht="20.399999999999999" x14ac:dyDescent="0.25">
      <c r="A33" s="140" t="s">
        <v>950</v>
      </c>
      <c r="B33" s="140" t="s">
        <v>771</v>
      </c>
      <c r="C33" s="34" t="s">
        <v>21</v>
      </c>
      <c r="D33" s="141"/>
      <c r="E33" s="35">
        <v>1</v>
      </c>
      <c r="F33" s="46" t="s">
        <v>788</v>
      </c>
      <c r="G33" s="75">
        <v>1</v>
      </c>
      <c r="H33" s="129" t="s">
        <v>14</v>
      </c>
      <c r="I33" s="48">
        <v>29300</v>
      </c>
      <c r="J33" s="48">
        <v>29300</v>
      </c>
      <c r="K33" s="82">
        <v>3.85</v>
      </c>
      <c r="L33" s="82">
        <v>2.8</v>
      </c>
      <c r="M33" s="82">
        <v>2.7</v>
      </c>
      <c r="N33" s="38" t="s">
        <v>452</v>
      </c>
    </row>
    <row r="34" spans="1:14" s="8" customFormat="1" ht="20.399999999999999" x14ac:dyDescent="0.25">
      <c r="A34" s="140" t="s">
        <v>950</v>
      </c>
      <c r="B34" s="140" t="s">
        <v>771</v>
      </c>
      <c r="C34" s="34" t="s">
        <v>18</v>
      </c>
      <c r="D34" s="141"/>
      <c r="E34" s="35">
        <v>1</v>
      </c>
      <c r="F34" s="46" t="s">
        <v>781</v>
      </c>
      <c r="G34" s="75">
        <v>1</v>
      </c>
      <c r="H34" s="129" t="s">
        <v>14</v>
      </c>
      <c r="I34" s="48">
        <v>7500</v>
      </c>
      <c r="J34" s="48">
        <v>7575</v>
      </c>
      <c r="K34" s="82">
        <v>3.4</v>
      </c>
      <c r="L34" s="82">
        <v>0.95</v>
      </c>
      <c r="M34" s="82">
        <v>1</v>
      </c>
      <c r="N34" s="38" t="s">
        <v>85</v>
      </c>
    </row>
    <row r="35" spans="1:14" s="8" customFormat="1" ht="105.6" x14ac:dyDescent="0.25">
      <c r="A35" s="140" t="s">
        <v>950</v>
      </c>
      <c r="B35" s="140" t="s">
        <v>771</v>
      </c>
      <c r="C35" s="34" t="s">
        <v>20</v>
      </c>
      <c r="D35" s="141"/>
      <c r="E35" s="35">
        <v>1</v>
      </c>
      <c r="F35" s="46" t="s">
        <v>789</v>
      </c>
      <c r="G35" s="75">
        <v>86</v>
      </c>
      <c r="H35" s="76" t="s">
        <v>14</v>
      </c>
      <c r="I35" s="52">
        <v>80</v>
      </c>
      <c r="J35" s="52">
        <v>105</v>
      </c>
      <c r="K35" s="82">
        <v>0.9</v>
      </c>
      <c r="L35" s="82">
        <v>0.9</v>
      </c>
      <c r="M35" s="82">
        <v>0.55000000000000004</v>
      </c>
      <c r="N35" s="38" t="s">
        <v>85</v>
      </c>
    </row>
    <row r="36" spans="1:14" s="8" customFormat="1" ht="20.399999999999999" x14ac:dyDescent="0.25">
      <c r="A36" s="140" t="s">
        <v>950</v>
      </c>
      <c r="B36" s="140" t="s">
        <v>771</v>
      </c>
      <c r="C36" s="34" t="s">
        <v>21</v>
      </c>
      <c r="D36" s="141"/>
      <c r="E36" s="35">
        <v>1</v>
      </c>
      <c r="F36" s="46" t="s">
        <v>792</v>
      </c>
      <c r="G36" s="75">
        <v>1</v>
      </c>
      <c r="H36" s="129" t="s">
        <v>14</v>
      </c>
      <c r="I36" s="48">
        <v>185</v>
      </c>
      <c r="J36" s="48">
        <v>185</v>
      </c>
      <c r="K36" s="82">
        <v>3</v>
      </c>
      <c r="L36" s="82">
        <v>0.25</v>
      </c>
      <c r="M36" s="82">
        <v>0.5</v>
      </c>
      <c r="N36" s="38" t="s">
        <v>85</v>
      </c>
    </row>
    <row r="37" spans="1:14" s="8" customFormat="1" ht="26.4" x14ac:dyDescent="0.25">
      <c r="A37" s="140" t="s">
        <v>950</v>
      </c>
      <c r="B37" s="140" t="s">
        <v>771</v>
      </c>
      <c r="C37" s="34" t="s">
        <v>18</v>
      </c>
      <c r="D37" s="141"/>
      <c r="E37" s="35">
        <v>1</v>
      </c>
      <c r="F37" s="46" t="s">
        <v>790</v>
      </c>
      <c r="G37" s="75">
        <v>7</v>
      </c>
      <c r="H37" s="129" t="s">
        <v>14</v>
      </c>
      <c r="I37" s="48">
        <v>240</v>
      </c>
      <c r="J37" s="48">
        <v>260</v>
      </c>
      <c r="K37" s="82">
        <v>1.2</v>
      </c>
      <c r="L37" s="82">
        <v>0.8</v>
      </c>
      <c r="M37" s="82">
        <v>1</v>
      </c>
      <c r="N37" s="38" t="s">
        <v>85</v>
      </c>
    </row>
    <row r="38" spans="1:14" s="8" customFormat="1" ht="20.399999999999999" x14ac:dyDescent="0.25">
      <c r="A38" s="140" t="s">
        <v>950</v>
      </c>
      <c r="B38" s="140" t="s">
        <v>771</v>
      </c>
      <c r="C38" s="34" t="s">
        <v>21</v>
      </c>
      <c r="D38" s="141"/>
      <c r="E38" s="35">
        <v>1</v>
      </c>
      <c r="F38" s="46" t="s">
        <v>791</v>
      </c>
      <c r="G38" s="75">
        <v>1</v>
      </c>
      <c r="H38" s="129" t="s">
        <v>14</v>
      </c>
      <c r="I38" s="48">
        <v>20</v>
      </c>
      <c r="J38" s="48">
        <v>20</v>
      </c>
      <c r="K38" s="82">
        <v>2</v>
      </c>
      <c r="L38" s="82">
        <v>0.15</v>
      </c>
      <c r="M38" s="82">
        <v>0.15</v>
      </c>
      <c r="N38" s="38" t="s">
        <v>85</v>
      </c>
    </row>
    <row r="39" spans="1:14" s="8" customFormat="1" ht="20.399999999999999" x14ac:dyDescent="0.25">
      <c r="A39" s="140" t="s">
        <v>951</v>
      </c>
      <c r="B39" s="140" t="s">
        <v>897</v>
      </c>
      <c r="C39" s="34" t="s">
        <v>21</v>
      </c>
      <c r="D39" s="35"/>
      <c r="E39" s="35">
        <v>1</v>
      </c>
      <c r="F39" s="46" t="s">
        <v>727</v>
      </c>
      <c r="G39" s="128">
        <v>1</v>
      </c>
      <c r="H39" s="76" t="s">
        <v>14</v>
      </c>
      <c r="I39" s="52">
        <v>19600</v>
      </c>
      <c r="J39" s="52">
        <v>19600</v>
      </c>
      <c r="K39" s="82">
        <v>2.85</v>
      </c>
      <c r="L39" s="82">
        <v>2.4300000000000002</v>
      </c>
      <c r="M39" s="82">
        <v>2.75</v>
      </c>
      <c r="N39" s="37" t="s">
        <v>898</v>
      </c>
    </row>
    <row r="40" spans="1:14" s="8" customFormat="1" ht="20.399999999999999" x14ac:dyDescent="0.25">
      <c r="A40" s="140" t="s">
        <v>951</v>
      </c>
      <c r="B40" s="140" t="s">
        <v>897</v>
      </c>
      <c r="C40" s="34" t="s">
        <v>21</v>
      </c>
      <c r="D40" s="35"/>
      <c r="E40" s="35">
        <v>1</v>
      </c>
      <c r="F40" s="46" t="s">
        <v>514</v>
      </c>
      <c r="G40" s="128">
        <v>1</v>
      </c>
      <c r="H40" s="76" t="s">
        <v>14</v>
      </c>
      <c r="I40" s="48">
        <v>122</v>
      </c>
      <c r="J40" s="48">
        <v>122</v>
      </c>
      <c r="K40" s="82">
        <v>1.8</v>
      </c>
      <c r="L40" s="82">
        <v>0.55000000000000004</v>
      </c>
      <c r="M40" s="82">
        <v>0.4</v>
      </c>
      <c r="N40" s="37" t="s">
        <v>898</v>
      </c>
    </row>
    <row r="41" spans="1:14" s="8" customFormat="1" ht="118.8" x14ac:dyDescent="0.25">
      <c r="A41" s="140" t="s">
        <v>951</v>
      </c>
      <c r="B41" s="140" t="s">
        <v>897</v>
      </c>
      <c r="C41" s="34" t="s">
        <v>20</v>
      </c>
      <c r="D41" s="35"/>
      <c r="E41" s="35">
        <v>1</v>
      </c>
      <c r="F41" s="46" t="s">
        <v>896</v>
      </c>
      <c r="G41" s="75">
        <v>44</v>
      </c>
      <c r="H41" s="73" t="s">
        <v>14</v>
      </c>
      <c r="I41" s="48">
        <v>330</v>
      </c>
      <c r="J41" s="48">
        <v>420</v>
      </c>
      <c r="K41" s="82">
        <v>1</v>
      </c>
      <c r="L41" s="82">
        <v>1</v>
      </c>
      <c r="M41" s="82">
        <v>0.8</v>
      </c>
      <c r="N41" s="37" t="s">
        <v>898</v>
      </c>
    </row>
    <row r="42" spans="1:14" s="8" customFormat="1" ht="20.399999999999999" x14ac:dyDescent="0.25">
      <c r="A42" s="140" t="s">
        <v>950</v>
      </c>
      <c r="B42" s="140" t="s">
        <v>989</v>
      </c>
      <c r="C42" s="34" t="s">
        <v>21</v>
      </c>
      <c r="D42" s="141"/>
      <c r="E42" s="35">
        <v>1</v>
      </c>
      <c r="F42" s="46" t="s">
        <v>788</v>
      </c>
      <c r="G42" s="75">
        <v>1</v>
      </c>
      <c r="H42" s="129" t="s">
        <v>14</v>
      </c>
      <c r="I42" s="48">
        <v>29300</v>
      </c>
      <c r="J42" s="48">
        <v>29300</v>
      </c>
      <c r="K42" s="82">
        <v>3.85</v>
      </c>
      <c r="L42" s="82">
        <v>2.8</v>
      </c>
      <c r="M42" s="82">
        <v>2.7</v>
      </c>
      <c r="N42" s="37" t="s">
        <v>85</v>
      </c>
    </row>
    <row r="43" spans="1:14" s="8" customFormat="1" ht="20.399999999999999" x14ac:dyDescent="0.25">
      <c r="A43" s="140" t="s">
        <v>950</v>
      </c>
      <c r="B43" s="140" t="s">
        <v>989</v>
      </c>
      <c r="C43" s="34" t="s">
        <v>21</v>
      </c>
      <c r="D43" s="141"/>
      <c r="E43" s="35">
        <v>1</v>
      </c>
      <c r="F43" s="46" t="s">
        <v>792</v>
      </c>
      <c r="G43" s="75">
        <v>1</v>
      </c>
      <c r="H43" s="129" t="s">
        <v>14</v>
      </c>
      <c r="I43" s="48">
        <v>205</v>
      </c>
      <c r="J43" s="48">
        <v>205</v>
      </c>
      <c r="K43" s="82">
        <v>2.97</v>
      </c>
      <c r="L43" s="82">
        <v>0.22</v>
      </c>
      <c r="M43" s="82">
        <v>0.46</v>
      </c>
      <c r="N43" s="37" t="s">
        <v>85</v>
      </c>
    </row>
    <row r="44" spans="1:14" s="8" customFormat="1" ht="105.6" x14ac:dyDescent="0.25">
      <c r="A44" s="140" t="s">
        <v>950</v>
      </c>
      <c r="B44" s="140" t="s">
        <v>989</v>
      </c>
      <c r="C44" s="34" t="s">
        <v>20</v>
      </c>
      <c r="D44" s="141"/>
      <c r="E44" s="35">
        <v>1</v>
      </c>
      <c r="F44" s="46" t="s">
        <v>949</v>
      </c>
      <c r="G44" s="75">
        <v>53</v>
      </c>
      <c r="H44" s="76" t="s">
        <v>14</v>
      </c>
      <c r="I44" s="52">
        <v>320</v>
      </c>
      <c r="J44" s="52">
        <v>440</v>
      </c>
      <c r="K44" s="82">
        <v>1.3</v>
      </c>
      <c r="L44" s="82">
        <v>0.75</v>
      </c>
      <c r="M44" s="82">
        <v>1</v>
      </c>
      <c r="N44" s="37" t="s">
        <v>85</v>
      </c>
    </row>
    <row r="45" spans="1:14" s="8" customFormat="1" ht="20.399999999999999" x14ac:dyDescent="0.25">
      <c r="A45" s="140" t="s">
        <v>951</v>
      </c>
      <c r="B45" s="140" t="s">
        <v>1247</v>
      </c>
      <c r="C45" s="34" t="s">
        <v>21</v>
      </c>
      <c r="D45" s="35"/>
      <c r="E45" s="35">
        <v>1</v>
      </c>
      <c r="F45" s="46" t="s">
        <v>1244</v>
      </c>
      <c r="G45" s="128">
        <v>1</v>
      </c>
      <c r="H45" s="76" t="s">
        <v>14</v>
      </c>
      <c r="I45" s="52">
        <v>20350</v>
      </c>
      <c r="J45" s="52">
        <v>20350</v>
      </c>
      <c r="K45" s="82">
        <v>3.03</v>
      </c>
      <c r="L45" s="82">
        <v>2.7</v>
      </c>
      <c r="M45" s="82">
        <v>2.52</v>
      </c>
      <c r="N45" s="37"/>
    </row>
    <row r="46" spans="1:14" s="8" customFormat="1" ht="20.399999999999999" x14ac:dyDescent="0.25">
      <c r="A46" s="140" t="s">
        <v>951</v>
      </c>
      <c r="B46" s="140" t="s">
        <v>1247</v>
      </c>
      <c r="C46" s="34" t="s">
        <v>21</v>
      </c>
      <c r="D46" s="35"/>
      <c r="E46" s="35">
        <v>1</v>
      </c>
      <c r="F46" s="46" t="s">
        <v>1245</v>
      </c>
      <c r="G46" s="128">
        <v>1</v>
      </c>
      <c r="H46" s="76" t="s">
        <v>14</v>
      </c>
      <c r="I46" s="48">
        <v>160</v>
      </c>
      <c r="J46" s="48">
        <v>160</v>
      </c>
      <c r="K46" s="82">
        <v>2.4</v>
      </c>
      <c r="L46" s="82">
        <v>0.25</v>
      </c>
      <c r="M46" s="82">
        <v>0.5</v>
      </c>
      <c r="N46" s="37"/>
    </row>
    <row r="47" spans="1:14" s="8" customFormat="1" ht="163.19999999999999" x14ac:dyDescent="0.25">
      <c r="A47" s="140" t="s">
        <v>951</v>
      </c>
      <c r="B47" s="140" t="s">
        <v>1247</v>
      </c>
      <c r="C47" s="34" t="s">
        <v>20</v>
      </c>
      <c r="D47" s="35"/>
      <c r="E47" s="35">
        <v>1</v>
      </c>
      <c r="F47" s="164" t="s">
        <v>1246</v>
      </c>
      <c r="G47" s="75">
        <v>78</v>
      </c>
      <c r="H47" s="73" t="s">
        <v>14</v>
      </c>
      <c r="I47" s="48">
        <v>400</v>
      </c>
      <c r="J47" s="48">
        <v>500</v>
      </c>
      <c r="K47" s="82">
        <v>1.3</v>
      </c>
      <c r="L47" s="82">
        <v>1.1000000000000001</v>
      </c>
      <c r="M47" s="82">
        <v>1.3</v>
      </c>
      <c r="N47" s="37"/>
    </row>
    <row r="48" spans="1:14" s="8" customFormat="1" ht="20.399999999999999" x14ac:dyDescent="0.25">
      <c r="A48" s="140" t="s">
        <v>950</v>
      </c>
      <c r="B48" s="140" t="s">
        <v>1064</v>
      </c>
      <c r="C48" s="34" t="s">
        <v>21</v>
      </c>
      <c r="D48" s="35" t="s">
        <v>1063</v>
      </c>
      <c r="E48" s="35">
        <v>1</v>
      </c>
      <c r="F48" s="188" t="s">
        <v>788</v>
      </c>
      <c r="G48" s="75">
        <v>1</v>
      </c>
      <c r="H48" s="129" t="s">
        <v>14</v>
      </c>
      <c r="I48" s="48">
        <v>29300</v>
      </c>
      <c r="J48" s="48">
        <v>29300</v>
      </c>
      <c r="K48" s="82">
        <v>3.85</v>
      </c>
      <c r="L48" s="82">
        <v>2.8</v>
      </c>
      <c r="M48" s="82">
        <v>2.7</v>
      </c>
      <c r="N48" s="37"/>
    </row>
    <row r="49" spans="1:14" s="8" customFormat="1" ht="20.399999999999999" x14ac:dyDescent="0.25">
      <c r="A49" s="140" t="s">
        <v>950</v>
      </c>
      <c r="B49" s="140" t="s">
        <v>1064</v>
      </c>
      <c r="C49" s="34" t="s">
        <v>21</v>
      </c>
      <c r="D49" s="35" t="s">
        <v>1063</v>
      </c>
      <c r="E49" s="35">
        <v>1</v>
      </c>
      <c r="F49" s="188" t="s">
        <v>792</v>
      </c>
      <c r="G49" s="75">
        <v>1</v>
      </c>
      <c r="H49" s="129" t="s">
        <v>14</v>
      </c>
      <c r="I49" s="48">
        <v>205</v>
      </c>
      <c r="J49" s="48">
        <v>205</v>
      </c>
      <c r="K49" s="82">
        <v>2.97</v>
      </c>
      <c r="L49" s="82">
        <v>0.22</v>
      </c>
      <c r="M49" s="82">
        <v>0.46</v>
      </c>
      <c r="N49" s="37"/>
    </row>
    <row r="50" spans="1:14" s="8" customFormat="1" ht="81.599999999999994" x14ac:dyDescent="0.25">
      <c r="A50" s="140" t="s">
        <v>950</v>
      </c>
      <c r="B50" s="140" t="s">
        <v>1064</v>
      </c>
      <c r="C50" s="34" t="s">
        <v>20</v>
      </c>
      <c r="D50" s="35" t="s">
        <v>1063</v>
      </c>
      <c r="E50" s="35">
        <v>1</v>
      </c>
      <c r="F50" s="164" t="s">
        <v>1135</v>
      </c>
      <c r="G50" s="75">
        <v>32</v>
      </c>
      <c r="H50" s="76" t="s">
        <v>14</v>
      </c>
      <c r="I50" s="52">
        <v>300</v>
      </c>
      <c r="J50" s="52">
        <v>385</v>
      </c>
      <c r="K50" s="82">
        <v>1.3</v>
      </c>
      <c r="L50" s="82">
        <v>1.1000000000000001</v>
      </c>
      <c r="M50" s="82">
        <v>1.2</v>
      </c>
      <c r="N50" s="37"/>
    </row>
    <row r="51" spans="1:14" s="8" customFormat="1" ht="39.6" x14ac:dyDescent="0.25">
      <c r="A51" s="140" t="s">
        <v>950</v>
      </c>
      <c r="B51" s="140" t="s">
        <v>1064</v>
      </c>
      <c r="C51" s="34" t="s">
        <v>20</v>
      </c>
      <c r="D51" s="35" t="s">
        <v>1063</v>
      </c>
      <c r="E51" s="35">
        <v>1</v>
      </c>
      <c r="F51" s="46" t="s">
        <v>1121</v>
      </c>
      <c r="G51" s="75">
        <v>4</v>
      </c>
      <c r="H51" s="76" t="s">
        <v>14</v>
      </c>
      <c r="I51" s="52">
        <v>290</v>
      </c>
      <c r="J51" s="52">
        <v>340</v>
      </c>
      <c r="K51" s="82">
        <v>2.8</v>
      </c>
      <c r="L51" s="82">
        <v>0.62</v>
      </c>
      <c r="M51" s="82">
        <v>0.83</v>
      </c>
      <c r="N51" s="37"/>
    </row>
    <row r="52" spans="1:14" s="8" customFormat="1" ht="20.399999999999999" x14ac:dyDescent="0.25">
      <c r="A52" s="140" t="s">
        <v>950</v>
      </c>
      <c r="B52" s="140" t="s">
        <v>1043</v>
      </c>
      <c r="C52" s="34" t="s">
        <v>21</v>
      </c>
      <c r="D52" s="141" t="s">
        <v>1063</v>
      </c>
      <c r="E52" s="35">
        <v>1</v>
      </c>
      <c r="F52" s="46" t="s">
        <v>788</v>
      </c>
      <c r="G52" s="75">
        <v>1</v>
      </c>
      <c r="H52" s="129" t="s">
        <v>14</v>
      </c>
      <c r="I52" s="48">
        <v>28900</v>
      </c>
      <c r="J52" s="48">
        <v>28900</v>
      </c>
      <c r="K52" s="82">
        <v>3.85</v>
      </c>
      <c r="L52" s="82">
        <v>2.8</v>
      </c>
      <c r="M52" s="82">
        <v>2.7</v>
      </c>
      <c r="N52" s="37"/>
    </row>
    <row r="53" spans="1:14" s="8" customFormat="1" ht="20.399999999999999" x14ac:dyDescent="0.25">
      <c r="A53" s="140" t="s">
        <v>950</v>
      </c>
      <c r="B53" s="140" t="s">
        <v>1043</v>
      </c>
      <c r="C53" s="34" t="s">
        <v>21</v>
      </c>
      <c r="D53" s="141" t="s">
        <v>1063</v>
      </c>
      <c r="E53" s="35">
        <v>1</v>
      </c>
      <c r="F53" s="46" t="s">
        <v>792</v>
      </c>
      <c r="G53" s="75">
        <v>1</v>
      </c>
      <c r="H53" s="129" t="s">
        <v>14</v>
      </c>
      <c r="I53" s="48">
        <v>190</v>
      </c>
      <c r="J53" s="48">
        <v>190</v>
      </c>
      <c r="K53" s="82">
        <v>2.97</v>
      </c>
      <c r="L53" s="82">
        <v>0.22</v>
      </c>
      <c r="M53" s="82">
        <v>0.46</v>
      </c>
      <c r="N53" s="37"/>
    </row>
    <row r="54" spans="1:14" s="8" customFormat="1" ht="173.4" x14ac:dyDescent="0.25">
      <c r="A54" s="140" t="s">
        <v>950</v>
      </c>
      <c r="B54" s="140" t="s">
        <v>1043</v>
      </c>
      <c r="C54" s="34" t="s">
        <v>20</v>
      </c>
      <c r="D54" s="141" t="s">
        <v>1068</v>
      </c>
      <c r="E54" s="35">
        <v>1</v>
      </c>
      <c r="F54" s="164" t="s">
        <v>1344</v>
      </c>
      <c r="G54" s="75">
        <v>99</v>
      </c>
      <c r="H54" s="76" t="s">
        <v>14</v>
      </c>
      <c r="I54" s="52">
        <v>465</v>
      </c>
      <c r="J54" s="52">
        <v>535</v>
      </c>
      <c r="K54" s="82">
        <v>1.5</v>
      </c>
      <c r="L54" s="82">
        <v>1.2</v>
      </c>
      <c r="M54" s="82">
        <v>1.2</v>
      </c>
      <c r="N54" s="37"/>
    </row>
    <row r="55" spans="1:14" s="8" customFormat="1" ht="20.399999999999999" x14ac:dyDescent="0.25">
      <c r="A55" s="140" t="s">
        <v>952</v>
      </c>
      <c r="B55" s="140" t="s">
        <v>1019</v>
      </c>
      <c r="C55" s="34" t="s">
        <v>21</v>
      </c>
      <c r="D55" s="35"/>
      <c r="E55" s="35">
        <v>1</v>
      </c>
      <c r="F55" s="46" t="s">
        <v>1278</v>
      </c>
      <c r="G55" s="75">
        <v>1</v>
      </c>
      <c r="H55" s="73" t="s">
        <v>14</v>
      </c>
      <c r="I55" s="48">
        <v>11095</v>
      </c>
      <c r="J55" s="48">
        <v>11095</v>
      </c>
      <c r="K55" s="82">
        <v>2.4</v>
      </c>
      <c r="L55" s="82">
        <v>2.1</v>
      </c>
      <c r="M55" s="82">
        <v>2.39</v>
      </c>
      <c r="N55" s="37"/>
    </row>
    <row r="56" spans="1:14" s="8" customFormat="1" ht="71.400000000000006" x14ac:dyDescent="0.25">
      <c r="A56" s="140" t="s">
        <v>952</v>
      </c>
      <c r="B56" s="140" t="s">
        <v>1019</v>
      </c>
      <c r="C56" s="34" t="s">
        <v>20</v>
      </c>
      <c r="D56" s="35"/>
      <c r="E56" s="35">
        <v>1</v>
      </c>
      <c r="F56" s="164" t="s">
        <v>1279</v>
      </c>
      <c r="G56" s="75">
        <v>46</v>
      </c>
      <c r="H56" s="73" t="s">
        <v>14</v>
      </c>
      <c r="I56" s="48">
        <v>170</v>
      </c>
      <c r="J56" s="48">
        <v>220</v>
      </c>
      <c r="K56" s="82">
        <v>1.33</v>
      </c>
      <c r="L56" s="82">
        <v>0.77</v>
      </c>
      <c r="M56" s="82">
        <v>1</v>
      </c>
      <c r="N56" s="37"/>
    </row>
    <row r="57" spans="1:14" s="8" customFormat="1" ht="20.399999999999999" x14ac:dyDescent="0.25">
      <c r="A57" s="140" t="s">
        <v>952</v>
      </c>
      <c r="B57" s="140" t="s">
        <v>1019</v>
      </c>
      <c r="C57" s="34" t="s">
        <v>21</v>
      </c>
      <c r="D57" s="35"/>
      <c r="E57" s="35">
        <v>1</v>
      </c>
      <c r="F57" s="46" t="s">
        <v>1280</v>
      </c>
      <c r="G57" s="75">
        <v>1</v>
      </c>
      <c r="H57" s="73" t="s">
        <v>14</v>
      </c>
      <c r="I57" s="48">
        <v>75</v>
      </c>
      <c r="J57" s="48">
        <v>75</v>
      </c>
      <c r="K57" s="82">
        <v>1.65</v>
      </c>
      <c r="L57" s="82">
        <v>0.15</v>
      </c>
      <c r="M57" s="82">
        <v>0.35</v>
      </c>
      <c r="N57" s="37"/>
    </row>
    <row r="58" spans="1:14" s="8" customFormat="1" ht="20.399999999999999" x14ac:dyDescent="0.25">
      <c r="A58" s="140" t="s">
        <v>952</v>
      </c>
      <c r="B58" s="140" t="s">
        <v>1584</v>
      </c>
      <c r="C58" s="34" t="s">
        <v>21</v>
      </c>
      <c r="D58" s="35" t="s">
        <v>1063</v>
      </c>
      <c r="E58" s="35">
        <v>1</v>
      </c>
      <c r="F58" s="46" t="s">
        <v>1581</v>
      </c>
      <c r="G58" s="75">
        <v>1</v>
      </c>
      <c r="H58" s="76" t="s">
        <v>14</v>
      </c>
      <c r="I58" s="48">
        <v>10550</v>
      </c>
      <c r="J58" s="51">
        <v>10550</v>
      </c>
      <c r="K58" s="82">
        <v>2.4</v>
      </c>
      <c r="L58" s="82">
        <v>2.1</v>
      </c>
      <c r="M58" s="82">
        <v>2.39</v>
      </c>
      <c r="N58" s="37"/>
    </row>
    <row r="59" spans="1:14" s="8" customFormat="1" ht="20.399999999999999" x14ac:dyDescent="0.25">
      <c r="A59" s="140" t="s">
        <v>952</v>
      </c>
      <c r="B59" s="140" t="s">
        <v>1584</v>
      </c>
      <c r="C59" s="34" t="s">
        <v>21</v>
      </c>
      <c r="D59" s="35" t="s">
        <v>1063</v>
      </c>
      <c r="E59" s="35">
        <v>1</v>
      </c>
      <c r="F59" s="46" t="s">
        <v>1582</v>
      </c>
      <c r="G59" s="75">
        <v>1</v>
      </c>
      <c r="H59" s="182" t="s">
        <v>14</v>
      </c>
      <c r="I59" s="48">
        <v>65</v>
      </c>
      <c r="J59" s="51">
        <v>65</v>
      </c>
      <c r="K59" s="82">
        <v>1.65</v>
      </c>
      <c r="L59" s="82">
        <v>0.15</v>
      </c>
      <c r="M59" s="82">
        <v>0.35</v>
      </c>
      <c r="N59" s="37"/>
    </row>
    <row r="60" spans="1:14" s="8" customFormat="1" ht="79.2" x14ac:dyDescent="0.25">
      <c r="A60" s="140" t="s">
        <v>952</v>
      </c>
      <c r="B60" s="140" t="s">
        <v>1584</v>
      </c>
      <c r="C60" s="34" t="s">
        <v>20</v>
      </c>
      <c r="D60" s="35" t="s">
        <v>1063</v>
      </c>
      <c r="E60" s="35">
        <v>1</v>
      </c>
      <c r="F60" s="46" t="s">
        <v>1583</v>
      </c>
      <c r="G60" s="220">
        <v>31</v>
      </c>
      <c r="H60" s="182" t="s">
        <v>14</v>
      </c>
      <c r="I60" s="48">
        <v>150</v>
      </c>
      <c r="J60" s="51">
        <v>250</v>
      </c>
      <c r="K60" s="82">
        <v>1.3</v>
      </c>
      <c r="L60" s="82">
        <v>1.1000000000000001</v>
      </c>
      <c r="M60" s="82">
        <v>1.2</v>
      </c>
      <c r="N60" s="37"/>
    </row>
    <row r="61" spans="1:14" s="8" customFormat="1" ht="20.399999999999999" x14ac:dyDescent="0.25">
      <c r="A61" s="140" t="s">
        <v>952</v>
      </c>
      <c r="B61" s="140" t="s">
        <v>1584</v>
      </c>
      <c r="C61" s="34" t="s">
        <v>21</v>
      </c>
      <c r="D61" s="35" t="s">
        <v>1063</v>
      </c>
      <c r="E61" s="35">
        <v>1</v>
      </c>
      <c r="F61" s="46" t="s">
        <v>1650</v>
      </c>
      <c r="G61" s="220">
        <v>1</v>
      </c>
      <c r="H61" s="182" t="s">
        <v>14</v>
      </c>
      <c r="I61" s="48">
        <v>160</v>
      </c>
      <c r="J61" s="51">
        <v>160</v>
      </c>
      <c r="K61" s="82">
        <v>0.64</v>
      </c>
      <c r="L61" s="82">
        <v>0.52</v>
      </c>
      <c r="M61" s="82">
        <v>0.83</v>
      </c>
      <c r="N61" s="37" t="s">
        <v>1651</v>
      </c>
    </row>
    <row r="62" spans="1:14" s="8" customFormat="1" ht="20.399999999999999" x14ac:dyDescent="0.25">
      <c r="A62" s="140" t="s">
        <v>1629</v>
      </c>
      <c r="B62" s="140" t="s">
        <v>1627</v>
      </c>
      <c r="C62" s="34" t="s">
        <v>21</v>
      </c>
      <c r="D62" s="35" t="s">
        <v>1063</v>
      </c>
      <c r="E62" s="35">
        <v>1</v>
      </c>
      <c r="F62" s="221" t="s">
        <v>1634</v>
      </c>
      <c r="G62" s="220">
        <v>1</v>
      </c>
      <c r="H62" s="182" t="s">
        <v>14</v>
      </c>
      <c r="I62" s="48">
        <v>2150</v>
      </c>
      <c r="J62" s="51">
        <v>2150</v>
      </c>
      <c r="K62" s="82"/>
      <c r="L62" s="82"/>
      <c r="M62" s="82"/>
      <c r="N62" s="37"/>
    </row>
    <row r="63" spans="1:14" s="8" customFormat="1" ht="20.399999999999999" x14ac:dyDescent="0.25">
      <c r="A63" s="140" t="s">
        <v>1629</v>
      </c>
      <c r="B63" s="140" t="s">
        <v>1627</v>
      </c>
      <c r="C63" s="34" t="s">
        <v>21</v>
      </c>
      <c r="D63" s="35" t="s">
        <v>1063</v>
      </c>
      <c r="E63" s="35">
        <v>1</v>
      </c>
      <c r="F63" s="221" t="s">
        <v>1635</v>
      </c>
      <c r="G63" s="220">
        <v>1</v>
      </c>
      <c r="H63" s="182" t="s">
        <v>14</v>
      </c>
      <c r="I63" s="48">
        <v>282</v>
      </c>
      <c r="J63" s="51">
        <v>282</v>
      </c>
      <c r="K63" s="82"/>
      <c r="L63" s="82"/>
      <c r="M63" s="82"/>
      <c r="N63" s="37"/>
    </row>
    <row r="64" spans="1:14" s="8" customFormat="1" ht="20.399999999999999" x14ac:dyDescent="0.25">
      <c r="A64" s="140" t="s">
        <v>1629</v>
      </c>
      <c r="B64" s="140" t="s">
        <v>1627</v>
      </c>
      <c r="C64" s="34" t="s">
        <v>21</v>
      </c>
      <c r="D64" s="35" t="s">
        <v>1063</v>
      </c>
      <c r="E64" s="35">
        <v>1</v>
      </c>
      <c r="F64" s="221" t="s">
        <v>1636</v>
      </c>
      <c r="G64" s="220">
        <v>2</v>
      </c>
      <c r="H64" s="182" t="s">
        <v>14</v>
      </c>
      <c r="I64" s="48">
        <v>150</v>
      </c>
      <c r="J64" s="51">
        <v>150</v>
      </c>
      <c r="K64" s="82"/>
      <c r="L64" s="82"/>
      <c r="M64" s="82"/>
      <c r="N64" s="37"/>
    </row>
    <row r="65" spans="1:16" s="8" customFormat="1" ht="20.399999999999999" x14ac:dyDescent="0.25">
      <c r="A65" s="140" t="s">
        <v>1629</v>
      </c>
      <c r="B65" s="140" t="s">
        <v>1627</v>
      </c>
      <c r="C65" s="34" t="s">
        <v>21</v>
      </c>
      <c r="D65" s="35" t="s">
        <v>1063</v>
      </c>
      <c r="E65" s="35">
        <v>1</v>
      </c>
      <c r="F65" s="221" t="s">
        <v>1628</v>
      </c>
      <c r="G65" s="220">
        <v>2</v>
      </c>
      <c r="H65" s="182" t="s">
        <v>14</v>
      </c>
      <c r="I65" s="48">
        <v>140</v>
      </c>
      <c r="J65" s="51">
        <v>280</v>
      </c>
      <c r="K65" s="82"/>
      <c r="L65" s="82"/>
      <c r="M65" s="82"/>
      <c r="N65" s="37"/>
    </row>
    <row r="66" spans="1:16" s="8" customFormat="1" ht="20.399999999999999" x14ac:dyDescent="0.25">
      <c r="A66" s="140" t="s">
        <v>1629</v>
      </c>
      <c r="B66" s="140" t="s">
        <v>1627</v>
      </c>
      <c r="C66" s="34" t="s">
        <v>21</v>
      </c>
      <c r="D66" s="35" t="s">
        <v>1063</v>
      </c>
      <c r="E66" s="35">
        <v>1</v>
      </c>
      <c r="F66" s="221" t="s">
        <v>1630</v>
      </c>
      <c r="G66" s="220">
        <v>2</v>
      </c>
      <c r="H66" s="182" t="s">
        <v>14</v>
      </c>
      <c r="I66" s="48">
        <v>133</v>
      </c>
      <c r="J66" s="51">
        <v>266</v>
      </c>
      <c r="K66" s="82"/>
      <c r="L66" s="82"/>
      <c r="M66" s="82"/>
      <c r="N66" s="37"/>
    </row>
    <row r="67" spans="1:16" s="8" customFormat="1" ht="20.399999999999999" x14ac:dyDescent="0.25">
      <c r="A67" s="140" t="s">
        <v>1629</v>
      </c>
      <c r="B67" s="140" t="s">
        <v>1627</v>
      </c>
      <c r="C67" s="34" t="s">
        <v>21</v>
      </c>
      <c r="D67" s="35" t="s">
        <v>1063</v>
      </c>
      <c r="E67" s="35">
        <v>1</v>
      </c>
      <c r="F67" s="221" t="s">
        <v>1631</v>
      </c>
      <c r="G67" s="220">
        <v>2</v>
      </c>
      <c r="H67" s="182" t="s">
        <v>14</v>
      </c>
      <c r="I67" s="48">
        <v>40</v>
      </c>
      <c r="J67" s="51">
        <v>80</v>
      </c>
      <c r="K67" s="82"/>
      <c r="L67" s="82"/>
      <c r="M67" s="82"/>
      <c r="N67" s="37"/>
    </row>
    <row r="68" spans="1:16" s="8" customFormat="1" ht="20.399999999999999" x14ac:dyDescent="0.25">
      <c r="A68" s="140" t="s">
        <v>1629</v>
      </c>
      <c r="B68" s="140" t="s">
        <v>1627</v>
      </c>
      <c r="C68" s="34" t="s">
        <v>21</v>
      </c>
      <c r="D68" s="35" t="s">
        <v>1063</v>
      </c>
      <c r="E68" s="35">
        <v>1</v>
      </c>
      <c r="F68" s="221" t="s">
        <v>1632</v>
      </c>
      <c r="G68" s="220">
        <v>2</v>
      </c>
      <c r="H68" s="182" t="s">
        <v>14</v>
      </c>
      <c r="I68" s="48">
        <v>39</v>
      </c>
      <c r="J68" s="51">
        <v>78</v>
      </c>
      <c r="K68" s="82"/>
      <c r="L68" s="82"/>
      <c r="M68" s="82"/>
      <c r="N68" s="37"/>
    </row>
    <row r="69" spans="1:16" s="8" customFormat="1" ht="20.399999999999999" x14ac:dyDescent="0.25">
      <c r="A69" s="140" t="s">
        <v>1629</v>
      </c>
      <c r="B69" s="140" t="s">
        <v>1627</v>
      </c>
      <c r="C69" s="34" t="s">
        <v>21</v>
      </c>
      <c r="D69" s="35" t="s">
        <v>1063</v>
      </c>
      <c r="E69" s="35">
        <v>1</v>
      </c>
      <c r="F69" s="222" t="s">
        <v>1633</v>
      </c>
      <c r="G69" s="220">
        <v>4</v>
      </c>
      <c r="H69" s="182" t="s">
        <v>14</v>
      </c>
      <c r="I69" s="48">
        <v>13</v>
      </c>
      <c r="J69" s="51">
        <v>52</v>
      </c>
      <c r="K69" s="82"/>
      <c r="L69" s="82"/>
      <c r="M69" s="82"/>
      <c r="N69" s="37"/>
    </row>
    <row r="70" spans="1:16" s="8" customFormat="1" ht="20.399999999999999" x14ac:dyDescent="0.25">
      <c r="A70" s="140" t="s">
        <v>1629</v>
      </c>
      <c r="B70" s="140" t="s">
        <v>1627</v>
      </c>
      <c r="C70" s="34" t="s">
        <v>21</v>
      </c>
      <c r="D70" s="35" t="s">
        <v>1063</v>
      </c>
      <c r="E70" s="35">
        <v>1</v>
      </c>
      <c r="F70" s="222" t="s">
        <v>1625</v>
      </c>
      <c r="G70" s="220">
        <v>2</v>
      </c>
      <c r="H70" s="182" t="s">
        <v>14</v>
      </c>
      <c r="I70" s="48">
        <v>12</v>
      </c>
      <c r="J70" s="51">
        <v>24</v>
      </c>
      <c r="K70" s="82"/>
      <c r="L70" s="82"/>
      <c r="M70" s="82"/>
      <c r="N70" s="37"/>
    </row>
    <row r="71" spans="1:16" s="8" customFormat="1" ht="20.399999999999999" x14ac:dyDescent="0.25">
      <c r="A71" s="140" t="s">
        <v>1629</v>
      </c>
      <c r="B71" s="140" t="s">
        <v>1627</v>
      </c>
      <c r="C71" s="34" t="s">
        <v>21</v>
      </c>
      <c r="D71" s="35" t="s">
        <v>1063</v>
      </c>
      <c r="E71" s="35">
        <v>1</v>
      </c>
      <c r="F71" s="223" t="s">
        <v>1626</v>
      </c>
      <c r="G71" s="75">
        <v>4</v>
      </c>
      <c r="H71" s="76" t="s">
        <v>14</v>
      </c>
      <c r="I71" s="52">
        <v>0.5</v>
      </c>
      <c r="J71" s="52">
        <v>2</v>
      </c>
      <c r="K71" s="82"/>
      <c r="L71" s="82"/>
      <c r="M71" s="82"/>
      <c r="N71" s="37"/>
    </row>
    <row r="72" spans="1:16" s="8" customFormat="1" ht="20.399999999999999" x14ac:dyDescent="0.25">
      <c r="A72" s="140" t="s">
        <v>951</v>
      </c>
      <c r="B72" s="140" t="s">
        <v>1654</v>
      </c>
      <c r="C72" s="34" t="s">
        <v>21</v>
      </c>
      <c r="D72" s="35" t="s">
        <v>1063</v>
      </c>
      <c r="E72" s="35">
        <v>1</v>
      </c>
      <c r="F72" s="46" t="s">
        <v>1656</v>
      </c>
      <c r="G72" s="75">
        <v>1</v>
      </c>
      <c r="H72" s="76" t="s">
        <v>14</v>
      </c>
      <c r="I72" s="52">
        <v>3680</v>
      </c>
      <c r="J72" s="52">
        <v>3680</v>
      </c>
      <c r="K72" s="82"/>
      <c r="L72" s="82"/>
      <c r="M72" s="82"/>
      <c r="N72" s="37" t="s">
        <v>1655</v>
      </c>
    </row>
    <row r="73" spans="1:16" s="8" customFormat="1" ht="20.399999999999999" x14ac:dyDescent="0.25">
      <c r="A73" s="140" t="s">
        <v>951</v>
      </c>
      <c r="B73" s="140" t="s">
        <v>1654</v>
      </c>
      <c r="C73" s="34" t="s">
        <v>21</v>
      </c>
      <c r="D73" s="35" t="s">
        <v>1063</v>
      </c>
      <c r="E73" s="35">
        <v>1</v>
      </c>
      <c r="F73" s="46" t="s">
        <v>1657</v>
      </c>
      <c r="G73" s="75">
        <v>1</v>
      </c>
      <c r="H73" s="76" t="s">
        <v>14</v>
      </c>
      <c r="I73" s="52">
        <v>375</v>
      </c>
      <c r="J73" s="52">
        <v>375</v>
      </c>
      <c r="K73" s="82"/>
      <c r="L73" s="82"/>
      <c r="M73" s="82"/>
      <c r="N73" s="37" t="s">
        <v>1655</v>
      </c>
    </row>
    <row r="74" spans="1:16" s="8" customFormat="1" ht="20.399999999999999" x14ac:dyDescent="0.25">
      <c r="A74" s="140" t="s">
        <v>951</v>
      </c>
      <c r="B74" s="140" t="s">
        <v>1658</v>
      </c>
      <c r="C74" s="34" t="s">
        <v>21</v>
      </c>
      <c r="D74" s="35" t="s">
        <v>1063</v>
      </c>
      <c r="E74" s="35">
        <v>1</v>
      </c>
      <c r="F74" s="46" t="s">
        <v>1656</v>
      </c>
      <c r="G74" s="75">
        <v>1</v>
      </c>
      <c r="H74" s="76" t="s">
        <v>14</v>
      </c>
      <c r="I74" s="52">
        <v>3710</v>
      </c>
      <c r="J74" s="52">
        <v>3710</v>
      </c>
      <c r="K74" s="82"/>
      <c r="L74" s="82"/>
      <c r="M74" s="82"/>
      <c r="N74" s="37" t="s">
        <v>1655</v>
      </c>
    </row>
    <row r="75" spans="1:16" s="8" customFormat="1" ht="20.399999999999999" x14ac:dyDescent="0.25">
      <c r="A75" s="140" t="s">
        <v>951</v>
      </c>
      <c r="B75" s="140" t="s">
        <v>1658</v>
      </c>
      <c r="C75" s="34" t="s">
        <v>21</v>
      </c>
      <c r="D75" s="35" t="s">
        <v>1063</v>
      </c>
      <c r="E75" s="35">
        <v>1</v>
      </c>
      <c r="F75" s="46" t="s">
        <v>1657</v>
      </c>
      <c r="G75" s="75">
        <v>1</v>
      </c>
      <c r="H75" s="76" t="s">
        <v>14</v>
      </c>
      <c r="I75" s="52">
        <v>378</v>
      </c>
      <c r="J75" s="52">
        <v>378</v>
      </c>
      <c r="K75" s="82"/>
      <c r="L75" s="82"/>
      <c r="M75" s="82"/>
      <c r="N75" s="37" t="s">
        <v>1655</v>
      </c>
    </row>
    <row r="76" spans="1:16" s="8" customFormat="1" ht="13.8" x14ac:dyDescent="0.25">
      <c r="A76" s="140"/>
      <c r="B76" s="140"/>
      <c r="C76" s="34"/>
      <c r="D76" s="35"/>
      <c r="E76" s="35"/>
      <c r="F76" s="46"/>
      <c r="G76" s="75"/>
      <c r="H76" s="76"/>
      <c r="I76" s="52"/>
      <c r="J76" s="52"/>
      <c r="K76" s="82"/>
      <c r="L76" s="82"/>
      <c r="M76" s="82"/>
      <c r="N76" s="37"/>
    </row>
    <row r="77" spans="1:16" s="8" customFormat="1" ht="13.8" x14ac:dyDescent="0.25">
      <c r="A77" s="140"/>
      <c r="B77" s="140"/>
      <c r="C77" s="34"/>
      <c r="D77" s="35"/>
      <c r="E77" s="35"/>
      <c r="F77" s="46"/>
      <c r="G77" s="75"/>
      <c r="H77" s="76"/>
      <c r="I77" s="52"/>
      <c r="J77" s="52"/>
      <c r="K77" s="82"/>
      <c r="L77" s="82"/>
      <c r="M77" s="82"/>
      <c r="N77" s="37"/>
    </row>
    <row r="78" spans="1:16" s="8" customFormat="1" ht="13.8" x14ac:dyDescent="0.25">
      <c r="A78" s="140"/>
      <c r="B78" s="140"/>
      <c r="C78" s="34"/>
      <c r="D78" s="141"/>
      <c r="E78" s="35"/>
      <c r="F78" s="46"/>
      <c r="G78" s="75"/>
      <c r="H78" s="76"/>
      <c r="I78" s="52"/>
      <c r="J78" s="52"/>
      <c r="K78" s="82"/>
      <c r="L78" s="82"/>
      <c r="M78" s="82"/>
      <c r="N78" s="37"/>
    </row>
    <row r="79" spans="1:16" s="8" customFormat="1" ht="13.8" x14ac:dyDescent="0.25">
      <c r="A79" s="111"/>
      <c r="B79" s="111"/>
      <c r="C79" s="30"/>
      <c r="D79" s="29"/>
      <c r="E79" s="29"/>
      <c r="F79" s="58"/>
      <c r="G79" s="70"/>
      <c r="H79" s="71"/>
      <c r="I79" s="96"/>
      <c r="J79" s="96"/>
      <c r="K79" s="86"/>
      <c r="L79" s="86"/>
      <c r="M79" s="86"/>
      <c r="N79" s="97"/>
    </row>
    <row r="80" spans="1:16" s="8" customFormat="1" ht="13.8" x14ac:dyDescent="0.25">
      <c r="A80" s="189"/>
      <c r="B80" s="183"/>
      <c r="C80" s="31"/>
      <c r="D80" s="32"/>
      <c r="E80" s="32"/>
      <c r="F80" s="61"/>
      <c r="G80" s="79"/>
      <c r="H80" s="80"/>
      <c r="I80" s="62"/>
      <c r="J80" s="62"/>
      <c r="K80" s="87"/>
      <c r="L80" s="87"/>
      <c r="M80" s="87"/>
      <c r="N80" s="63"/>
      <c r="O80" s="28"/>
      <c r="P80" s="28"/>
    </row>
    <row r="81" spans="1:14" s="8" customFormat="1" ht="13.8" x14ac:dyDescent="0.25">
      <c r="A81" s="111"/>
      <c r="B81" s="111"/>
      <c r="C81" s="30"/>
      <c r="D81" s="29"/>
      <c r="E81" s="29"/>
      <c r="F81" s="58"/>
      <c r="G81" s="70"/>
      <c r="H81" s="71"/>
      <c r="I81" s="152"/>
      <c r="J81" s="152"/>
      <c r="K81" s="86"/>
      <c r="L81" s="122"/>
      <c r="M81" s="122"/>
      <c r="N81" s="60"/>
    </row>
    <row r="82" spans="1:14" s="9" customFormat="1" ht="13.8" x14ac:dyDescent="0.25">
      <c r="A82" s="111"/>
      <c r="B82" s="111"/>
      <c r="C82" s="43"/>
      <c r="D82" s="65"/>
      <c r="E82" s="65"/>
      <c r="F82" s="66"/>
      <c r="G82" s="70"/>
      <c r="H82" s="71"/>
      <c r="I82" s="67"/>
      <c r="J82" s="67"/>
      <c r="K82" s="88"/>
      <c r="L82" s="88"/>
      <c r="M82" s="88"/>
      <c r="N82" s="60"/>
    </row>
    <row r="83" spans="1:14" s="9" customFormat="1" ht="12.75" customHeight="1" x14ac:dyDescent="0.25">
      <c r="A83" s="6"/>
      <c r="B83" s="20"/>
      <c r="C83" s="20"/>
      <c r="D83" s="6"/>
      <c r="E83" s="6"/>
      <c r="F83" s="21"/>
      <c r="G83" s="21"/>
      <c r="H83" s="21"/>
      <c r="I83" s="23"/>
      <c r="J83" s="23"/>
      <c r="K83" s="23"/>
      <c r="L83" s="23"/>
      <c r="M83" s="19"/>
    </row>
    <row r="84" spans="1:14" ht="13.8" x14ac:dyDescent="0.25">
      <c r="A84" s="5"/>
      <c r="B84" s="22"/>
      <c r="C84" s="22"/>
      <c r="D84" s="22"/>
      <c r="E84" s="22"/>
      <c r="F84" s="24"/>
      <c r="G84" s="24"/>
      <c r="H84" s="24"/>
      <c r="I84" s="15"/>
      <c r="J84" s="15"/>
      <c r="K84" s="15"/>
      <c r="L84" s="15"/>
      <c r="M84" s="5"/>
    </row>
    <row r="85" spans="1:14" ht="13.8" x14ac:dyDescent="0.25">
      <c r="A85" s="5"/>
      <c r="B85" s="22"/>
      <c r="C85" s="22"/>
      <c r="D85" s="22"/>
      <c r="E85" s="22"/>
      <c r="F85" s="24"/>
      <c r="G85" s="24"/>
      <c r="H85" s="24"/>
      <c r="I85" s="25"/>
      <c r="J85" s="26"/>
      <c r="K85" s="26"/>
      <c r="L85" s="26"/>
      <c r="M85" s="5"/>
    </row>
    <row r="86" spans="1:14" ht="13.8" x14ac:dyDescent="0.25">
      <c r="A86" s="5"/>
      <c r="B86" s="22"/>
      <c r="C86" s="22"/>
      <c r="D86" s="22"/>
      <c r="E86" s="22"/>
      <c r="F86" s="24"/>
      <c r="G86" s="24"/>
      <c r="H86" s="24"/>
      <c r="I86" s="25"/>
      <c r="J86" s="26"/>
      <c r="K86" s="26"/>
      <c r="L86" s="26"/>
      <c r="M86" s="5"/>
    </row>
    <row r="87" spans="1:14" ht="13.8" x14ac:dyDescent="0.25">
      <c r="A87" s="5"/>
      <c r="B87" s="22"/>
      <c r="C87" s="22"/>
      <c r="D87" s="22"/>
      <c r="E87" s="22"/>
      <c r="F87" s="24"/>
      <c r="G87" s="24"/>
      <c r="H87" s="24"/>
      <c r="I87" s="25"/>
      <c r="J87" s="26"/>
      <c r="K87" s="26"/>
      <c r="L87" s="26"/>
      <c r="M87" s="5"/>
    </row>
    <row r="88" spans="1:14" ht="14.25" customHeight="1" x14ac:dyDescent="0.25">
      <c r="A88" s="5"/>
      <c r="B88" s="5"/>
      <c r="C88" s="5"/>
      <c r="D88" s="5"/>
      <c r="E88" s="5"/>
      <c r="F88" s="5"/>
      <c r="G88" s="69"/>
      <c r="H88" s="69"/>
      <c r="I88" s="26"/>
      <c r="J88" s="26"/>
      <c r="K88" s="26"/>
      <c r="L88" s="26"/>
      <c r="M88" s="5"/>
    </row>
    <row r="89" spans="1:14" ht="14.25" customHeight="1" x14ac:dyDescent="0.25">
      <c r="A89" s="5"/>
      <c r="B89" s="5"/>
      <c r="C89" s="5"/>
      <c r="D89" s="5"/>
      <c r="E89" s="5"/>
      <c r="F89" s="5"/>
      <c r="G89" s="69"/>
      <c r="H89" s="69"/>
      <c r="I89" s="26"/>
      <c r="J89" s="26"/>
      <c r="K89" s="26"/>
      <c r="L89" s="26"/>
      <c r="M89" s="5"/>
    </row>
    <row r="90" spans="1:14" ht="14.25" customHeight="1" x14ac:dyDescent="0.25">
      <c r="A90" s="5"/>
      <c r="B90" s="5"/>
      <c r="C90" s="5"/>
      <c r="D90" s="5"/>
      <c r="E90" s="5"/>
      <c r="F90" s="5"/>
      <c r="G90" s="69"/>
      <c r="H90" s="69"/>
      <c r="I90" s="26"/>
      <c r="J90" s="26"/>
      <c r="K90" s="26"/>
      <c r="L90" s="26"/>
      <c r="M90" s="5"/>
    </row>
    <row r="91" spans="1:14" ht="13.8" x14ac:dyDescent="0.25">
      <c r="B91" s="5"/>
      <c r="C91" s="5"/>
      <c r="D91" s="5"/>
      <c r="E91" s="5"/>
      <c r="F91" s="5"/>
      <c r="G91" s="69"/>
      <c r="H91" s="69"/>
      <c r="I91" s="18"/>
      <c r="J91" s="18"/>
      <c r="K91" s="18"/>
      <c r="L91"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5AA9-A5F5-4106-BA68-E7186FB3A829}">
  <dimension ref="A1:P60"/>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1741</v>
      </c>
      <c r="M1" s="81" t="s">
        <v>1739</v>
      </c>
      <c r="N1" s="39" t="s">
        <v>124</v>
      </c>
      <c r="O1" s="7"/>
      <c r="P1" s="7"/>
    </row>
    <row r="2" spans="1:16" s="8" customFormat="1" ht="13.8" x14ac:dyDescent="0.25">
      <c r="A2" s="140" t="s">
        <v>86</v>
      </c>
      <c r="B2" s="140"/>
      <c r="C2" s="45" t="s">
        <v>21</v>
      </c>
      <c r="D2" s="53" t="s">
        <v>67</v>
      </c>
      <c r="E2" s="53">
        <v>1</v>
      </c>
      <c r="F2" s="54" t="s">
        <v>3</v>
      </c>
      <c r="G2" s="72">
        <v>1</v>
      </c>
      <c r="H2" s="76" t="s">
        <v>14</v>
      </c>
      <c r="I2" s="55">
        <v>6900</v>
      </c>
      <c r="J2" s="55">
        <v>6900</v>
      </c>
      <c r="K2" s="82">
        <v>2.44</v>
      </c>
      <c r="L2" s="82">
        <v>1.8</v>
      </c>
      <c r="M2" s="82">
        <v>2.46</v>
      </c>
      <c r="N2" s="36" t="s">
        <v>2</v>
      </c>
    </row>
    <row r="3" spans="1:16" s="8" customFormat="1" ht="20.399999999999999" x14ac:dyDescent="0.25">
      <c r="A3" s="140" t="s">
        <v>86</v>
      </c>
      <c r="B3" s="140" t="s">
        <v>144</v>
      </c>
      <c r="C3" s="34" t="s">
        <v>21</v>
      </c>
      <c r="D3" s="35" t="s">
        <v>146</v>
      </c>
      <c r="E3" s="35">
        <v>1</v>
      </c>
      <c r="F3" s="46" t="s">
        <v>153</v>
      </c>
      <c r="G3" s="72">
        <v>1</v>
      </c>
      <c r="H3" s="76" t="s">
        <v>14</v>
      </c>
      <c r="I3" s="55">
        <v>6660</v>
      </c>
      <c r="J3" s="55">
        <v>6660</v>
      </c>
      <c r="K3" s="82">
        <v>2.44</v>
      </c>
      <c r="L3" s="85">
        <v>1.8</v>
      </c>
      <c r="M3" s="82">
        <v>2.46</v>
      </c>
      <c r="N3" s="36" t="s">
        <v>1</v>
      </c>
    </row>
    <row r="4" spans="1:16" s="8" customFormat="1" ht="13.8" x14ac:dyDescent="0.25">
      <c r="A4" s="140" t="s">
        <v>86</v>
      </c>
      <c r="B4" s="140"/>
      <c r="C4" s="34" t="s">
        <v>21</v>
      </c>
      <c r="D4" s="35" t="s">
        <v>67</v>
      </c>
      <c r="E4" s="35">
        <v>1</v>
      </c>
      <c r="F4" s="46" t="s">
        <v>8</v>
      </c>
      <c r="G4" s="72">
        <v>1</v>
      </c>
      <c r="H4" s="76" t="s">
        <v>14</v>
      </c>
      <c r="I4" s="48">
        <v>1220</v>
      </c>
      <c r="J4" s="51">
        <v>1220</v>
      </c>
      <c r="K4" s="82"/>
      <c r="L4" s="82"/>
      <c r="M4" s="82"/>
      <c r="N4" s="36" t="s">
        <v>1</v>
      </c>
    </row>
    <row r="5" spans="1:16" s="8" customFormat="1" ht="13.8" x14ac:dyDescent="0.25">
      <c r="A5" s="140" t="s">
        <v>86</v>
      </c>
      <c r="B5" s="140"/>
      <c r="C5" s="34" t="s">
        <v>21</v>
      </c>
      <c r="D5" s="35" t="s">
        <v>67</v>
      </c>
      <c r="E5" s="35">
        <v>1</v>
      </c>
      <c r="F5" s="46" t="s">
        <v>4</v>
      </c>
      <c r="G5" s="72">
        <v>1</v>
      </c>
      <c r="H5" s="76" t="s">
        <v>14</v>
      </c>
      <c r="I5" s="48">
        <v>180</v>
      </c>
      <c r="J5" s="51">
        <v>180</v>
      </c>
      <c r="K5" s="82"/>
      <c r="L5" s="82"/>
      <c r="M5" s="82"/>
      <c r="N5" s="36" t="s">
        <v>1</v>
      </c>
    </row>
    <row r="6" spans="1:16" s="8" customFormat="1" ht="26.4" x14ac:dyDescent="0.25">
      <c r="A6" s="140" t="s">
        <v>86</v>
      </c>
      <c r="B6" s="140" t="s">
        <v>611</v>
      </c>
      <c r="C6" s="34" t="s">
        <v>21</v>
      </c>
      <c r="D6" s="35" t="s">
        <v>605</v>
      </c>
      <c r="E6" s="35">
        <v>1</v>
      </c>
      <c r="F6" s="46" t="s">
        <v>675</v>
      </c>
      <c r="G6" s="72">
        <v>1</v>
      </c>
      <c r="H6" s="76" t="s">
        <v>14</v>
      </c>
      <c r="I6" s="48">
        <v>905</v>
      </c>
      <c r="J6" s="51">
        <v>905</v>
      </c>
      <c r="K6" s="82"/>
      <c r="L6" s="82"/>
      <c r="M6" s="82"/>
      <c r="N6" s="36" t="s">
        <v>85</v>
      </c>
    </row>
    <row r="7" spans="1:16" s="8" customFormat="1" ht="26.4" x14ac:dyDescent="0.25">
      <c r="A7" s="140" t="s">
        <v>86</v>
      </c>
      <c r="B7" s="140" t="s">
        <v>611</v>
      </c>
      <c r="C7" s="34" t="s">
        <v>21</v>
      </c>
      <c r="D7" s="35" t="s">
        <v>605</v>
      </c>
      <c r="E7" s="35">
        <v>1</v>
      </c>
      <c r="F7" s="46" t="s">
        <v>676</v>
      </c>
      <c r="G7" s="72">
        <v>1</v>
      </c>
      <c r="H7" s="76" t="s">
        <v>14</v>
      </c>
      <c r="I7" s="48">
        <v>900</v>
      </c>
      <c r="J7" s="51">
        <v>900</v>
      </c>
      <c r="K7" s="82"/>
      <c r="L7" s="82"/>
      <c r="M7" s="82"/>
      <c r="N7" s="36" t="s">
        <v>85</v>
      </c>
    </row>
    <row r="8" spans="1:16" s="8" customFormat="1" ht="26.4" x14ac:dyDescent="0.25">
      <c r="A8" s="140" t="s">
        <v>86</v>
      </c>
      <c r="B8" s="140" t="s">
        <v>611</v>
      </c>
      <c r="C8" s="34" t="s">
        <v>21</v>
      </c>
      <c r="D8" s="35" t="s">
        <v>605</v>
      </c>
      <c r="E8" s="35">
        <v>1</v>
      </c>
      <c r="F8" s="46" t="s">
        <v>675</v>
      </c>
      <c r="G8" s="72">
        <v>1</v>
      </c>
      <c r="H8" s="76" t="s">
        <v>14</v>
      </c>
      <c r="I8" s="48">
        <v>895</v>
      </c>
      <c r="J8" s="51">
        <v>895</v>
      </c>
      <c r="K8" s="82"/>
      <c r="L8" s="82"/>
      <c r="M8" s="82"/>
      <c r="N8" s="36" t="s">
        <v>85</v>
      </c>
    </row>
    <row r="9" spans="1:16" s="8" customFormat="1" ht="26.4" x14ac:dyDescent="0.25">
      <c r="A9" s="140" t="s">
        <v>86</v>
      </c>
      <c r="B9" s="140" t="s">
        <v>611</v>
      </c>
      <c r="C9" s="34" t="s">
        <v>21</v>
      </c>
      <c r="D9" s="35" t="s">
        <v>605</v>
      </c>
      <c r="E9" s="35">
        <v>1</v>
      </c>
      <c r="F9" s="46" t="s">
        <v>678</v>
      </c>
      <c r="G9" s="72">
        <v>1</v>
      </c>
      <c r="H9" s="76" t="s">
        <v>14</v>
      </c>
      <c r="I9" s="48">
        <v>180</v>
      </c>
      <c r="J9" s="51">
        <v>180</v>
      </c>
      <c r="K9" s="82"/>
      <c r="L9" s="82"/>
      <c r="M9" s="82"/>
      <c r="N9" s="36" t="s">
        <v>85</v>
      </c>
    </row>
    <row r="10" spans="1:16" s="8" customFormat="1" ht="26.4" x14ac:dyDescent="0.25">
      <c r="A10" s="140" t="s">
        <v>86</v>
      </c>
      <c r="B10" s="140" t="s">
        <v>611</v>
      </c>
      <c r="C10" s="34" t="s">
        <v>21</v>
      </c>
      <c r="D10" s="35" t="s">
        <v>605</v>
      </c>
      <c r="E10" s="35">
        <v>1</v>
      </c>
      <c r="F10" s="46" t="s">
        <v>677</v>
      </c>
      <c r="G10" s="72">
        <v>1</v>
      </c>
      <c r="H10" s="76" t="s">
        <v>14</v>
      </c>
      <c r="I10" s="48">
        <v>175</v>
      </c>
      <c r="J10" s="51">
        <v>175</v>
      </c>
      <c r="K10" s="82"/>
      <c r="L10" s="82"/>
      <c r="M10" s="82"/>
      <c r="N10" s="36" t="s">
        <v>85</v>
      </c>
    </row>
    <row r="11" spans="1:16" s="8" customFormat="1" ht="26.4" x14ac:dyDescent="0.25">
      <c r="A11" s="140" t="s">
        <v>86</v>
      </c>
      <c r="B11" s="140" t="s">
        <v>184</v>
      </c>
      <c r="C11" s="34" t="s">
        <v>21</v>
      </c>
      <c r="D11" s="35" t="s">
        <v>185</v>
      </c>
      <c r="E11" s="35">
        <v>1</v>
      </c>
      <c r="F11" s="46" t="s">
        <v>340</v>
      </c>
      <c r="G11" s="72">
        <v>1</v>
      </c>
      <c r="H11" s="76" t="s">
        <v>14</v>
      </c>
      <c r="I11" s="48">
        <v>4050</v>
      </c>
      <c r="J11" s="51">
        <v>4050</v>
      </c>
      <c r="K11" s="82">
        <v>2.4300000000000002</v>
      </c>
      <c r="L11" s="82">
        <v>1.8</v>
      </c>
      <c r="M11" s="82">
        <v>1.78</v>
      </c>
      <c r="N11" s="36" t="s">
        <v>85</v>
      </c>
    </row>
    <row r="12" spans="1:16" s="8" customFormat="1" ht="20.399999999999999" x14ac:dyDescent="0.25">
      <c r="A12" s="140" t="s">
        <v>86</v>
      </c>
      <c r="B12" s="140" t="s">
        <v>587</v>
      </c>
      <c r="C12" s="34" t="s">
        <v>21</v>
      </c>
      <c r="D12" s="35"/>
      <c r="E12" s="35">
        <v>1</v>
      </c>
      <c r="F12" s="46" t="s">
        <v>597</v>
      </c>
      <c r="G12" s="72">
        <v>1</v>
      </c>
      <c r="H12" s="76" t="s">
        <v>14</v>
      </c>
      <c r="I12" s="48">
        <v>4160</v>
      </c>
      <c r="J12" s="51">
        <v>4175</v>
      </c>
      <c r="K12" s="82">
        <v>2.4300000000000002</v>
      </c>
      <c r="L12" s="82">
        <v>1.8</v>
      </c>
      <c r="M12" s="82">
        <v>1.78</v>
      </c>
      <c r="N12" s="36" t="s">
        <v>85</v>
      </c>
    </row>
    <row r="13" spans="1:16" s="8" customFormat="1" ht="79.2" x14ac:dyDescent="0.25">
      <c r="A13" s="140" t="s">
        <v>86</v>
      </c>
      <c r="B13" s="140" t="s">
        <v>587</v>
      </c>
      <c r="C13" s="34" t="s">
        <v>598</v>
      </c>
      <c r="D13" s="35"/>
      <c r="E13" s="35">
        <v>1</v>
      </c>
      <c r="F13" s="46" t="s">
        <v>599</v>
      </c>
      <c r="G13" s="72">
        <v>13</v>
      </c>
      <c r="H13" s="76" t="s">
        <v>14</v>
      </c>
      <c r="I13" s="51">
        <v>8</v>
      </c>
      <c r="J13" s="51">
        <v>8</v>
      </c>
      <c r="K13" s="82">
        <v>0.52</v>
      </c>
      <c r="L13" s="82">
        <v>0.28999999999999998</v>
      </c>
      <c r="M13" s="82">
        <v>0.09</v>
      </c>
      <c r="N13" s="36" t="s">
        <v>600</v>
      </c>
    </row>
    <row r="14" spans="1:16" s="8" customFormat="1" ht="26.4" x14ac:dyDescent="0.25">
      <c r="A14" s="140" t="s">
        <v>86</v>
      </c>
      <c r="B14" s="140"/>
      <c r="C14" s="34" t="s">
        <v>21</v>
      </c>
      <c r="D14" s="56" t="s">
        <v>186</v>
      </c>
      <c r="E14" s="35">
        <v>1</v>
      </c>
      <c r="F14" s="46" t="s">
        <v>187</v>
      </c>
      <c r="G14" s="72">
        <v>1</v>
      </c>
      <c r="H14" s="76" t="s">
        <v>14</v>
      </c>
      <c r="I14" s="48">
        <v>80</v>
      </c>
      <c r="J14" s="51">
        <v>80</v>
      </c>
      <c r="K14" s="82">
        <v>1.71</v>
      </c>
      <c r="L14" s="82">
        <v>1.55</v>
      </c>
      <c r="M14" s="82">
        <v>0.3</v>
      </c>
      <c r="N14" s="36" t="s">
        <v>85</v>
      </c>
    </row>
    <row r="15" spans="1:16" s="8" customFormat="1" ht="13.8" x14ac:dyDescent="0.25">
      <c r="A15" s="140" t="s">
        <v>86</v>
      </c>
      <c r="B15" s="140"/>
      <c r="C15" s="34" t="s">
        <v>21</v>
      </c>
      <c r="D15" s="35"/>
      <c r="E15" s="35">
        <v>1</v>
      </c>
      <c r="F15" s="46" t="s">
        <v>5</v>
      </c>
      <c r="G15" s="72">
        <v>1</v>
      </c>
      <c r="H15" s="76" t="s">
        <v>14</v>
      </c>
      <c r="I15" s="52">
        <v>3920</v>
      </c>
      <c r="J15" s="52">
        <v>3920</v>
      </c>
      <c r="K15" s="82"/>
      <c r="L15" s="82"/>
      <c r="M15" s="82"/>
      <c r="N15" s="36" t="s">
        <v>1</v>
      </c>
    </row>
    <row r="16" spans="1:16" s="8" customFormat="1" ht="26.4" x14ac:dyDescent="0.25">
      <c r="A16" s="140" t="s">
        <v>86</v>
      </c>
      <c r="B16" s="140"/>
      <c r="C16" s="34" t="s">
        <v>20</v>
      </c>
      <c r="D16" s="35" t="s">
        <v>146</v>
      </c>
      <c r="E16" s="35">
        <v>1</v>
      </c>
      <c r="F16" s="46" t="s">
        <v>588</v>
      </c>
      <c r="G16" s="72">
        <v>24</v>
      </c>
      <c r="H16" s="76" t="s">
        <v>14</v>
      </c>
      <c r="I16" s="51">
        <v>19</v>
      </c>
      <c r="J16" s="51">
        <v>26</v>
      </c>
      <c r="K16" s="82">
        <v>0.5</v>
      </c>
      <c r="L16" s="82">
        <v>0.5</v>
      </c>
      <c r="M16" s="82">
        <v>0.3</v>
      </c>
      <c r="N16" s="36" t="s">
        <v>148</v>
      </c>
    </row>
    <row r="17" spans="1:14" s="8" customFormat="1" ht="105.6" x14ac:dyDescent="0.25">
      <c r="A17" s="140" t="s">
        <v>86</v>
      </c>
      <c r="B17" s="140" t="s">
        <v>184</v>
      </c>
      <c r="C17" s="34" t="s">
        <v>20</v>
      </c>
      <c r="D17" s="56" t="s">
        <v>186</v>
      </c>
      <c r="E17" s="102">
        <v>1</v>
      </c>
      <c r="F17" s="91" t="s">
        <v>341</v>
      </c>
      <c r="G17" s="72">
        <v>178</v>
      </c>
      <c r="H17" s="76" t="s">
        <v>14</v>
      </c>
      <c r="I17" s="103">
        <v>215</v>
      </c>
      <c r="J17" s="103">
        <v>245</v>
      </c>
      <c r="K17" s="82">
        <v>1.67</v>
      </c>
      <c r="L17" s="82">
        <v>0.5</v>
      </c>
      <c r="M17" s="82">
        <v>0.61</v>
      </c>
      <c r="N17" s="36" t="s">
        <v>85</v>
      </c>
    </row>
    <row r="18" spans="1:14" s="8" customFormat="1" ht="20.399999999999999" x14ac:dyDescent="0.25">
      <c r="A18" s="140" t="s">
        <v>86</v>
      </c>
      <c r="B18" s="140" t="s">
        <v>611</v>
      </c>
      <c r="C18" s="34" t="s">
        <v>21</v>
      </c>
      <c r="D18" s="35" t="s">
        <v>605</v>
      </c>
      <c r="E18" s="35">
        <v>1</v>
      </c>
      <c r="F18" s="46" t="s">
        <v>725</v>
      </c>
      <c r="G18" s="128">
        <v>1</v>
      </c>
      <c r="H18" s="129" t="s">
        <v>14</v>
      </c>
      <c r="I18" s="48">
        <v>4130</v>
      </c>
      <c r="J18" s="48">
        <v>4130</v>
      </c>
      <c r="K18" s="82">
        <v>2.4300000000000002</v>
      </c>
      <c r="L18" s="82">
        <v>1.8</v>
      </c>
      <c r="M18" s="82">
        <v>1.78</v>
      </c>
      <c r="N18" s="36" t="s">
        <v>85</v>
      </c>
    </row>
    <row r="19" spans="1:14" s="8" customFormat="1" ht="20.399999999999999" x14ac:dyDescent="0.25">
      <c r="A19" s="140" t="s">
        <v>86</v>
      </c>
      <c r="B19" s="140" t="s">
        <v>611</v>
      </c>
      <c r="C19" s="34" t="s">
        <v>21</v>
      </c>
      <c r="D19" s="35" t="s">
        <v>606</v>
      </c>
      <c r="E19" s="35">
        <v>1</v>
      </c>
      <c r="F19" s="46" t="s">
        <v>725</v>
      </c>
      <c r="G19" s="128">
        <v>1</v>
      </c>
      <c r="H19" s="129" t="s">
        <v>14</v>
      </c>
      <c r="I19" s="48">
        <v>4130</v>
      </c>
      <c r="J19" s="48">
        <v>4130</v>
      </c>
      <c r="K19" s="82">
        <v>2.4300000000000002</v>
      </c>
      <c r="L19" s="82">
        <v>1.8</v>
      </c>
      <c r="M19" s="82">
        <v>1.78</v>
      </c>
      <c r="N19" s="36" t="s">
        <v>85</v>
      </c>
    </row>
    <row r="20" spans="1:14" s="8" customFormat="1" ht="20.399999999999999" x14ac:dyDescent="0.25">
      <c r="A20" s="140" t="s">
        <v>86</v>
      </c>
      <c r="B20" s="140" t="s">
        <v>611</v>
      </c>
      <c r="C20" s="34" t="s">
        <v>21</v>
      </c>
      <c r="D20" s="35" t="s">
        <v>607</v>
      </c>
      <c r="E20" s="35">
        <v>1</v>
      </c>
      <c r="F20" s="46" t="s">
        <v>725</v>
      </c>
      <c r="G20" s="128">
        <v>1</v>
      </c>
      <c r="H20" s="129" t="s">
        <v>14</v>
      </c>
      <c r="I20" s="48">
        <v>4130</v>
      </c>
      <c r="J20" s="48">
        <v>4130</v>
      </c>
      <c r="K20" s="82">
        <v>2.4300000000000002</v>
      </c>
      <c r="L20" s="82">
        <v>1.8</v>
      </c>
      <c r="M20" s="82">
        <v>1.78</v>
      </c>
      <c r="N20" s="36" t="s">
        <v>85</v>
      </c>
    </row>
    <row r="21" spans="1:14" s="8" customFormat="1" ht="20.399999999999999" x14ac:dyDescent="0.25">
      <c r="A21" s="140" t="s">
        <v>86</v>
      </c>
      <c r="B21" s="140" t="s">
        <v>611</v>
      </c>
      <c r="C21" s="34" t="s">
        <v>21</v>
      </c>
      <c r="D21" s="35" t="s">
        <v>608</v>
      </c>
      <c r="E21" s="35">
        <v>1</v>
      </c>
      <c r="F21" s="46" t="s">
        <v>726</v>
      </c>
      <c r="G21" s="128">
        <v>1</v>
      </c>
      <c r="H21" s="129" t="s">
        <v>14</v>
      </c>
      <c r="I21" s="48">
        <v>4115</v>
      </c>
      <c r="J21" s="48">
        <v>4115</v>
      </c>
      <c r="K21" s="82">
        <v>2.4300000000000002</v>
      </c>
      <c r="L21" s="82">
        <v>1.8</v>
      </c>
      <c r="M21" s="82">
        <v>1.78</v>
      </c>
      <c r="N21" s="36" t="s">
        <v>85</v>
      </c>
    </row>
    <row r="22" spans="1:14" s="8" customFormat="1" ht="20.399999999999999" x14ac:dyDescent="0.25">
      <c r="A22" s="140" t="s">
        <v>86</v>
      </c>
      <c r="B22" s="140" t="s">
        <v>611</v>
      </c>
      <c r="C22" s="34" t="s">
        <v>21</v>
      </c>
      <c r="D22" s="35" t="s">
        <v>609</v>
      </c>
      <c r="E22" s="35">
        <v>1</v>
      </c>
      <c r="F22" s="46" t="s">
        <v>726</v>
      </c>
      <c r="G22" s="128">
        <v>1</v>
      </c>
      <c r="H22" s="129" t="s">
        <v>14</v>
      </c>
      <c r="I22" s="48">
        <v>4115</v>
      </c>
      <c r="J22" s="48">
        <v>4115</v>
      </c>
      <c r="K22" s="82">
        <v>2.4300000000000002</v>
      </c>
      <c r="L22" s="82">
        <v>1.8</v>
      </c>
      <c r="M22" s="82">
        <v>1.78</v>
      </c>
      <c r="N22" s="36" t="s">
        <v>85</v>
      </c>
    </row>
    <row r="23" spans="1:14" s="8" customFormat="1" ht="20.399999999999999" x14ac:dyDescent="0.25">
      <c r="A23" s="140" t="s">
        <v>86</v>
      </c>
      <c r="B23" s="140" t="s">
        <v>611</v>
      </c>
      <c r="C23" s="34" t="s">
        <v>21</v>
      </c>
      <c r="D23" s="35" t="s">
        <v>610</v>
      </c>
      <c r="E23" s="35">
        <v>1</v>
      </c>
      <c r="F23" s="46" t="s">
        <v>726</v>
      </c>
      <c r="G23" s="128">
        <v>1</v>
      </c>
      <c r="H23" s="129" t="s">
        <v>14</v>
      </c>
      <c r="I23" s="48">
        <v>4115</v>
      </c>
      <c r="J23" s="48">
        <v>4115</v>
      </c>
      <c r="K23" s="82">
        <v>2.4300000000000002</v>
      </c>
      <c r="L23" s="82">
        <v>1.8</v>
      </c>
      <c r="M23" s="82">
        <v>1.78</v>
      </c>
      <c r="N23" s="36" t="s">
        <v>85</v>
      </c>
    </row>
    <row r="24" spans="1:14" s="8" customFormat="1" ht="20.399999999999999" x14ac:dyDescent="0.25">
      <c r="A24" s="140" t="s">
        <v>86</v>
      </c>
      <c r="B24" s="140" t="s">
        <v>771</v>
      </c>
      <c r="C24" s="34" t="s">
        <v>21</v>
      </c>
      <c r="D24" s="141"/>
      <c r="E24" s="35">
        <v>1</v>
      </c>
      <c r="F24" s="46" t="s">
        <v>794</v>
      </c>
      <c r="G24" s="72">
        <v>1</v>
      </c>
      <c r="H24" s="76" t="s">
        <v>14</v>
      </c>
      <c r="I24" s="51">
        <v>1220</v>
      </c>
      <c r="J24" s="51">
        <v>1220</v>
      </c>
      <c r="K24" s="82"/>
      <c r="L24" s="82"/>
      <c r="M24" s="82"/>
      <c r="N24" s="36" t="s">
        <v>1</v>
      </c>
    </row>
    <row r="25" spans="1:14" s="8" customFormat="1" ht="26.4" x14ac:dyDescent="0.25">
      <c r="A25" s="140" t="s">
        <v>86</v>
      </c>
      <c r="B25" s="140" t="s">
        <v>771</v>
      </c>
      <c r="C25" s="34" t="s">
        <v>21</v>
      </c>
      <c r="D25" s="141"/>
      <c r="E25" s="35">
        <v>1</v>
      </c>
      <c r="F25" s="46" t="s">
        <v>795</v>
      </c>
      <c r="G25" s="72">
        <v>1</v>
      </c>
      <c r="H25" s="76" t="s">
        <v>14</v>
      </c>
      <c r="I25" s="51">
        <v>340</v>
      </c>
      <c r="J25" s="51">
        <v>340</v>
      </c>
      <c r="K25" s="82"/>
      <c r="L25" s="82"/>
      <c r="M25" s="82"/>
      <c r="N25" s="36" t="s">
        <v>1</v>
      </c>
    </row>
    <row r="26" spans="1:14" s="8" customFormat="1" ht="20.399999999999999" x14ac:dyDescent="0.25">
      <c r="A26" s="140" t="s">
        <v>86</v>
      </c>
      <c r="B26" s="140" t="s">
        <v>771</v>
      </c>
      <c r="C26" s="34" t="s">
        <v>21</v>
      </c>
      <c r="D26" s="141"/>
      <c r="E26" s="35">
        <v>1</v>
      </c>
      <c r="F26" s="46" t="s">
        <v>784</v>
      </c>
      <c r="G26" s="72">
        <v>1</v>
      </c>
      <c r="H26" s="76" t="s">
        <v>14</v>
      </c>
      <c r="I26" s="51">
        <v>6845</v>
      </c>
      <c r="J26" s="51">
        <v>6845</v>
      </c>
      <c r="K26" s="82">
        <v>2.5299999999999998</v>
      </c>
      <c r="L26" s="82">
        <v>1.85</v>
      </c>
      <c r="M26" s="82">
        <v>2.4</v>
      </c>
      <c r="N26" s="36" t="s">
        <v>85</v>
      </c>
    </row>
    <row r="27" spans="1:14" s="8" customFormat="1" ht="26.4" x14ac:dyDescent="0.25">
      <c r="A27" s="140" t="s">
        <v>86</v>
      </c>
      <c r="B27" s="140" t="s">
        <v>771</v>
      </c>
      <c r="C27" s="34" t="s">
        <v>20</v>
      </c>
      <c r="D27" s="141"/>
      <c r="E27" s="35">
        <v>1</v>
      </c>
      <c r="F27" s="46" t="s">
        <v>785</v>
      </c>
      <c r="G27" s="72">
        <v>2</v>
      </c>
      <c r="H27" s="76" t="s">
        <v>14</v>
      </c>
      <c r="I27" s="51">
        <v>80</v>
      </c>
      <c r="J27" s="51">
        <v>95</v>
      </c>
      <c r="K27" s="82">
        <v>0.8</v>
      </c>
      <c r="L27" s="82">
        <v>0.6</v>
      </c>
      <c r="M27" s="82">
        <v>0.4</v>
      </c>
      <c r="N27" s="36" t="s">
        <v>85</v>
      </c>
    </row>
    <row r="28" spans="1:14" s="8" customFormat="1" ht="22.8" x14ac:dyDescent="0.25">
      <c r="A28" s="140" t="s">
        <v>86</v>
      </c>
      <c r="B28" s="140" t="s">
        <v>771</v>
      </c>
      <c r="C28" s="34" t="s">
        <v>20</v>
      </c>
      <c r="D28" s="141"/>
      <c r="E28" s="35">
        <v>1</v>
      </c>
      <c r="F28" s="161" t="s">
        <v>782</v>
      </c>
      <c r="G28" s="75">
        <v>2</v>
      </c>
      <c r="H28" s="129" t="s">
        <v>14</v>
      </c>
      <c r="I28" s="48">
        <v>1310</v>
      </c>
      <c r="J28" s="48">
        <v>1380</v>
      </c>
      <c r="K28" s="82">
        <v>2.35</v>
      </c>
      <c r="L28" s="82">
        <v>0.75</v>
      </c>
      <c r="M28" s="82">
        <v>0.5</v>
      </c>
      <c r="N28" s="36" t="s">
        <v>85</v>
      </c>
    </row>
    <row r="29" spans="1:14" s="8" customFormat="1" ht="22.8" x14ac:dyDescent="0.25">
      <c r="A29" s="140" t="s">
        <v>86</v>
      </c>
      <c r="B29" s="140" t="s">
        <v>771</v>
      </c>
      <c r="C29" s="34" t="s">
        <v>20</v>
      </c>
      <c r="D29" s="141"/>
      <c r="E29" s="35">
        <v>1</v>
      </c>
      <c r="F29" s="161" t="s">
        <v>783</v>
      </c>
      <c r="G29" s="75">
        <v>2</v>
      </c>
      <c r="H29" s="129" t="s">
        <v>14</v>
      </c>
      <c r="I29" s="48">
        <v>1310</v>
      </c>
      <c r="J29" s="48">
        <v>1380</v>
      </c>
      <c r="K29" s="82">
        <v>2.35</v>
      </c>
      <c r="L29" s="82">
        <v>0.75</v>
      </c>
      <c r="M29" s="82">
        <v>0.5</v>
      </c>
      <c r="N29" s="36" t="s">
        <v>85</v>
      </c>
    </row>
    <row r="30" spans="1:14" s="9" customFormat="1" ht="122.4" x14ac:dyDescent="0.25">
      <c r="A30" s="140" t="s">
        <v>86</v>
      </c>
      <c r="B30" s="140" t="s">
        <v>771</v>
      </c>
      <c r="C30" s="34" t="s">
        <v>20</v>
      </c>
      <c r="D30" s="141"/>
      <c r="E30" s="35">
        <v>1</v>
      </c>
      <c r="F30" s="164" t="s">
        <v>1345</v>
      </c>
      <c r="G30" s="72">
        <v>156</v>
      </c>
      <c r="H30" s="76" t="s">
        <v>14</v>
      </c>
      <c r="I30" s="51">
        <v>90</v>
      </c>
      <c r="J30" s="51">
        <v>105</v>
      </c>
      <c r="K30" s="82">
        <v>0.7</v>
      </c>
      <c r="L30" s="82">
        <v>0.7</v>
      </c>
      <c r="M30" s="82">
        <v>0.75</v>
      </c>
      <c r="N30" s="36" t="s">
        <v>85</v>
      </c>
    </row>
    <row r="31" spans="1:14" s="9" customFormat="1" ht="20.399999999999999" x14ac:dyDescent="0.25">
      <c r="A31" s="140" t="s">
        <v>86</v>
      </c>
      <c r="B31" s="140" t="s">
        <v>1271</v>
      </c>
      <c r="C31" s="34" t="s">
        <v>21</v>
      </c>
      <c r="D31" s="141"/>
      <c r="E31" s="35">
        <v>1</v>
      </c>
      <c r="F31" s="46" t="s">
        <v>798</v>
      </c>
      <c r="G31" s="72">
        <v>1</v>
      </c>
      <c r="H31" s="76" t="s">
        <v>14</v>
      </c>
      <c r="I31" s="51">
        <v>954</v>
      </c>
      <c r="J31" s="51">
        <v>954</v>
      </c>
      <c r="K31" s="82"/>
      <c r="L31" s="82"/>
      <c r="M31" s="82"/>
      <c r="N31" s="36" t="s">
        <v>1</v>
      </c>
    </row>
    <row r="32" spans="1:14" s="9" customFormat="1" ht="20.399999999999999" x14ac:dyDescent="0.25">
      <c r="A32" s="140" t="s">
        <v>86</v>
      </c>
      <c r="B32" s="140" t="s">
        <v>1271</v>
      </c>
      <c r="C32" s="34" t="s">
        <v>21</v>
      </c>
      <c r="D32" s="141"/>
      <c r="E32" s="35">
        <v>1</v>
      </c>
      <c r="F32" s="46" t="s">
        <v>799</v>
      </c>
      <c r="G32" s="72">
        <v>1</v>
      </c>
      <c r="H32" s="76" t="s">
        <v>14</v>
      </c>
      <c r="I32" s="51">
        <v>398</v>
      </c>
      <c r="J32" s="51">
        <v>398</v>
      </c>
      <c r="K32" s="82"/>
      <c r="L32" s="82"/>
      <c r="M32" s="82"/>
      <c r="N32" s="36" t="s">
        <v>1</v>
      </c>
    </row>
    <row r="33" spans="1:14" s="9" customFormat="1" ht="26.4" x14ac:dyDescent="0.25">
      <c r="A33" s="140" t="s">
        <v>86</v>
      </c>
      <c r="B33" s="140" t="s">
        <v>1271</v>
      </c>
      <c r="C33" s="34" t="s">
        <v>21</v>
      </c>
      <c r="D33" s="141"/>
      <c r="E33" s="35">
        <v>1</v>
      </c>
      <c r="F33" s="46" t="s">
        <v>801</v>
      </c>
      <c r="G33" s="72">
        <v>1</v>
      </c>
      <c r="H33" s="76" t="s">
        <v>14</v>
      </c>
      <c r="I33" s="51">
        <v>6350</v>
      </c>
      <c r="J33" s="51">
        <v>6350</v>
      </c>
      <c r="K33" s="82">
        <v>2.6</v>
      </c>
      <c r="L33" s="82">
        <v>1.9</v>
      </c>
      <c r="M33" s="82">
        <v>1.85</v>
      </c>
      <c r="N33" s="36" t="s">
        <v>85</v>
      </c>
    </row>
    <row r="34" spans="1:14" s="9" customFormat="1" ht="132.6" x14ac:dyDescent="0.25">
      <c r="A34" s="140" t="s">
        <v>86</v>
      </c>
      <c r="B34" s="140" t="s">
        <v>1271</v>
      </c>
      <c r="C34" s="34" t="s">
        <v>509</v>
      </c>
      <c r="D34" s="141"/>
      <c r="E34" s="35">
        <v>1</v>
      </c>
      <c r="F34" s="164" t="s">
        <v>1270</v>
      </c>
      <c r="G34" s="72">
        <v>51</v>
      </c>
      <c r="H34" s="76" t="s">
        <v>14</v>
      </c>
      <c r="I34" s="51">
        <v>65</v>
      </c>
      <c r="J34" s="51">
        <v>90</v>
      </c>
      <c r="K34" s="82">
        <v>1.2</v>
      </c>
      <c r="L34" s="82">
        <v>0.8</v>
      </c>
      <c r="M34" s="82">
        <v>0.85</v>
      </c>
      <c r="N34" s="36" t="s">
        <v>85</v>
      </c>
    </row>
    <row r="35" spans="1:14" s="9" customFormat="1" ht="20.399999999999999" x14ac:dyDescent="0.25">
      <c r="A35" s="140" t="s">
        <v>86</v>
      </c>
      <c r="B35" s="140" t="s">
        <v>1271</v>
      </c>
      <c r="C35" s="34" t="s">
        <v>21</v>
      </c>
      <c r="D35" s="141"/>
      <c r="E35" s="35">
        <v>1</v>
      </c>
      <c r="F35" s="46" t="s">
        <v>800</v>
      </c>
      <c r="G35" s="75">
        <v>1</v>
      </c>
      <c r="H35" s="129" t="s">
        <v>14</v>
      </c>
      <c r="I35" s="48">
        <v>105</v>
      </c>
      <c r="J35" s="48">
        <v>105</v>
      </c>
      <c r="K35" s="82">
        <v>2.15</v>
      </c>
      <c r="L35" s="82">
        <v>0.65</v>
      </c>
      <c r="M35" s="82">
        <v>0.35</v>
      </c>
      <c r="N35" s="36" t="s">
        <v>85</v>
      </c>
    </row>
    <row r="36" spans="1:14" s="9" customFormat="1" ht="20.399999999999999" x14ac:dyDescent="0.25">
      <c r="A36" s="140" t="s">
        <v>86</v>
      </c>
      <c r="B36" s="140" t="s">
        <v>1271</v>
      </c>
      <c r="C36" s="34" t="s">
        <v>21</v>
      </c>
      <c r="D36" s="141"/>
      <c r="E36" s="35">
        <v>1</v>
      </c>
      <c r="F36" s="46" t="s">
        <v>791</v>
      </c>
      <c r="G36" s="75">
        <v>1</v>
      </c>
      <c r="H36" s="129" t="s">
        <v>14</v>
      </c>
      <c r="I36" s="48">
        <v>2</v>
      </c>
      <c r="J36" s="48">
        <v>2</v>
      </c>
      <c r="K36" s="82">
        <v>1.4</v>
      </c>
      <c r="L36" s="82">
        <v>0.15</v>
      </c>
      <c r="M36" s="82">
        <v>0.08</v>
      </c>
      <c r="N36" s="36" t="s">
        <v>85</v>
      </c>
    </row>
    <row r="37" spans="1:14" s="9" customFormat="1" ht="20.399999999999999" x14ac:dyDescent="0.25">
      <c r="A37" s="140" t="s">
        <v>1027</v>
      </c>
      <c r="B37" s="140" t="s">
        <v>1019</v>
      </c>
      <c r="C37" s="34" t="s">
        <v>21</v>
      </c>
      <c r="D37" s="141"/>
      <c r="E37" s="35">
        <v>1</v>
      </c>
      <c r="F37" s="46" t="s">
        <v>1025</v>
      </c>
      <c r="G37" s="75">
        <v>1</v>
      </c>
      <c r="H37" s="129" t="s">
        <v>14</v>
      </c>
      <c r="I37" s="48">
        <v>18</v>
      </c>
      <c r="J37" s="48">
        <v>18</v>
      </c>
      <c r="K37" s="82"/>
      <c r="L37" s="82"/>
      <c r="M37" s="82"/>
      <c r="N37" s="36" t="s">
        <v>1020</v>
      </c>
    </row>
    <row r="38" spans="1:14" s="9" customFormat="1" ht="20.399999999999999" x14ac:dyDescent="0.25">
      <c r="A38" s="140" t="s">
        <v>1027</v>
      </c>
      <c r="B38" s="140" t="s">
        <v>1019</v>
      </c>
      <c r="C38" s="34" t="s">
        <v>21</v>
      </c>
      <c r="D38" s="141"/>
      <c r="E38" s="35">
        <v>1</v>
      </c>
      <c r="F38" s="46" t="s">
        <v>1026</v>
      </c>
      <c r="G38" s="75">
        <v>1</v>
      </c>
      <c r="H38" s="129" t="s">
        <v>14</v>
      </c>
      <c r="I38" s="48">
        <v>26</v>
      </c>
      <c r="J38" s="48">
        <v>26</v>
      </c>
      <c r="K38" s="82"/>
      <c r="L38" s="82"/>
      <c r="M38" s="82"/>
      <c r="N38" s="36" t="s">
        <v>1020</v>
      </c>
    </row>
    <row r="39" spans="1:14" s="9" customFormat="1" ht="20.399999999999999" x14ac:dyDescent="0.25">
      <c r="A39" s="140" t="s">
        <v>1027</v>
      </c>
      <c r="B39" s="140" t="s">
        <v>1019</v>
      </c>
      <c r="C39" s="34" t="s">
        <v>21</v>
      </c>
      <c r="D39" s="141"/>
      <c r="E39" s="35">
        <v>1</v>
      </c>
      <c r="F39" s="46" t="s">
        <v>1028</v>
      </c>
      <c r="G39" s="75">
        <v>1</v>
      </c>
      <c r="H39" s="129" t="s">
        <v>14</v>
      </c>
      <c r="I39" s="48">
        <v>6</v>
      </c>
      <c r="J39" s="48">
        <v>6</v>
      </c>
      <c r="K39" s="82"/>
      <c r="L39" s="82"/>
      <c r="M39" s="82"/>
      <c r="N39" s="36" t="s">
        <v>1020</v>
      </c>
    </row>
    <row r="40" spans="1:14" s="9" customFormat="1" ht="20.399999999999999" x14ac:dyDescent="0.25">
      <c r="A40" s="140" t="s">
        <v>1027</v>
      </c>
      <c r="B40" s="140" t="s">
        <v>1019</v>
      </c>
      <c r="C40" s="34" t="s">
        <v>21</v>
      </c>
      <c r="D40" s="141"/>
      <c r="E40" s="35">
        <v>1</v>
      </c>
      <c r="F40" s="46" t="s">
        <v>1029</v>
      </c>
      <c r="G40" s="75">
        <v>1</v>
      </c>
      <c r="H40" s="129" t="s">
        <v>14</v>
      </c>
      <c r="I40" s="48">
        <v>6</v>
      </c>
      <c r="J40" s="48">
        <v>6</v>
      </c>
      <c r="K40" s="82"/>
      <c r="L40" s="82"/>
      <c r="M40" s="82"/>
      <c r="N40" s="36" t="s">
        <v>1020</v>
      </c>
    </row>
    <row r="41" spans="1:14" s="9" customFormat="1" ht="20.399999999999999" x14ac:dyDescent="0.25">
      <c r="A41" s="140" t="s">
        <v>1027</v>
      </c>
      <c r="B41" s="140" t="s">
        <v>1019</v>
      </c>
      <c r="C41" s="34" t="s">
        <v>21</v>
      </c>
      <c r="D41" s="35"/>
      <c r="E41" s="35">
        <v>1</v>
      </c>
      <c r="F41" s="46" t="s">
        <v>1272</v>
      </c>
      <c r="G41" s="72">
        <v>1</v>
      </c>
      <c r="H41" s="73" t="s">
        <v>14</v>
      </c>
      <c r="I41" s="48">
        <v>3895</v>
      </c>
      <c r="J41" s="48">
        <v>3895</v>
      </c>
      <c r="K41" s="82">
        <v>2.23</v>
      </c>
      <c r="L41" s="82">
        <v>1.8</v>
      </c>
      <c r="M41" s="82">
        <v>1.78</v>
      </c>
      <c r="N41" s="36"/>
    </row>
    <row r="42" spans="1:14" s="9" customFormat="1" ht="61.2" x14ac:dyDescent="0.25">
      <c r="A42" s="140" t="s">
        <v>1027</v>
      </c>
      <c r="B42" s="140" t="s">
        <v>1019</v>
      </c>
      <c r="C42" s="34" t="s">
        <v>509</v>
      </c>
      <c r="D42" s="35"/>
      <c r="E42" s="35">
        <v>1</v>
      </c>
      <c r="F42" s="164" t="s">
        <v>1273</v>
      </c>
      <c r="G42" s="72">
        <v>32</v>
      </c>
      <c r="H42" s="73" t="s">
        <v>14</v>
      </c>
      <c r="I42" s="51">
        <v>75</v>
      </c>
      <c r="J42" s="51">
        <v>90</v>
      </c>
      <c r="K42" s="82">
        <v>0.8</v>
      </c>
      <c r="L42" s="82">
        <v>0.8</v>
      </c>
      <c r="M42" s="82">
        <v>0.65</v>
      </c>
      <c r="N42" s="36"/>
    </row>
    <row r="43" spans="1:14" s="9" customFormat="1" ht="20.399999999999999" x14ac:dyDescent="0.25">
      <c r="A43" s="140" t="s">
        <v>1027</v>
      </c>
      <c r="B43" s="140" t="s">
        <v>1043</v>
      </c>
      <c r="C43" s="34" t="s">
        <v>21</v>
      </c>
      <c r="D43" s="141" t="s">
        <v>605</v>
      </c>
      <c r="E43" s="35">
        <v>1</v>
      </c>
      <c r="F43" s="46" t="s">
        <v>784</v>
      </c>
      <c r="G43" s="75">
        <v>1</v>
      </c>
      <c r="H43" s="76" t="s">
        <v>14</v>
      </c>
      <c r="I43" s="51">
        <v>6760</v>
      </c>
      <c r="J43" s="51">
        <v>6760</v>
      </c>
      <c r="K43" s="82">
        <v>2.5299999999999998</v>
      </c>
      <c r="L43" s="82">
        <v>1.85</v>
      </c>
      <c r="M43" s="82">
        <v>2.4</v>
      </c>
      <c r="N43" s="36"/>
    </row>
    <row r="44" spans="1:14" s="9" customFormat="1" ht="20.399999999999999" x14ac:dyDescent="0.25">
      <c r="A44" s="140" t="s">
        <v>1027</v>
      </c>
      <c r="B44" s="140" t="s">
        <v>1043</v>
      </c>
      <c r="C44" s="34" t="s">
        <v>21</v>
      </c>
      <c r="D44" s="141" t="s">
        <v>606</v>
      </c>
      <c r="E44" s="35">
        <v>1</v>
      </c>
      <c r="F44" s="46" t="s">
        <v>784</v>
      </c>
      <c r="G44" s="75">
        <v>1</v>
      </c>
      <c r="H44" s="76" t="s">
        <v>14</v>
      </c>
      <c r="I44" s="51">
        <v>6760</v>
      </c>
      <c r="J44" s="51">
        <v>6760</v>
      </c>
      <c r="K44" s="82">
        <v>2.5299999999999998</v>
      </c>
      <c r="L44" s="82">
        <v>1.85</v>
      </c>
      <c r="M44" s="82">
        <v>2.4</v>
      </c>
      <c r="N44" s="36"/>
    </row>
    <row r="45" spans="1:14" s="9" customFormat="1" ht="20.399999999999999" x14ac:dyDescent="0.25">
      <c r="A45" s="140" t="s">
        <v>1027</v>
      </c>
      <c r="B45" s="140" t="s">
        <v>1043</v>
      </c>
      <c r="C45" s="34" t="s">
        <v>21</v>
      </c>
      <c r="D45" s="141" t="s">
        <v>1066</v>
      </c>
      <c r="E45" s="35">
        <v>1</v>
      </c>
      <c r="F45" s="46" t="s">
        <v>1067</v>
      </c>
      <c r="G45" s="75">
        <v>1</v>
      </c>
      <c r="H45" s="129" t="s">
        <v>14</v>
      </c>
      <c r="I45" s="48">
        <v>80</v>
      </c>
      <c r="J45" s="48">
        <v>80</v>
      </c>
      <c r="K45" s="82">
        <v>1.8</v>
      </c>
      <c r="L45" s="82">
        <v>0.6</v>
      </c>
      <c r="M45" s="82">
        <v>0.4</v>
      </c>
      <c r="N45" s="36"/>
    </row>
    <row r="46" spans="1:14" s="9" customFormat="1" ht="142.80000000000001" x14ac:dyDescent="0.25">
      <c r="A46" s="140" t="s">
        <v>1027</v>
      </c>
      <c r="B46" s="140" t="s">
        <v>1043</v>
      </c>
      <c r="C46" s="34" t="s">
        <v>20</v>
      </c>
      <c r="D46" s="141" t="s">
        <v>1066</v>
      </c>
      <c r="E46" s="35">
        <v>1</v>
      </c>
      <c r="F46" s="164" t="s">
        <v>1274</v>
      </c>
      <c r="G46" s="75">
        <v>66</v>
      </c>
      <c r="H46" s="76" t="s">
        <v>14</v>
      </c>
      <c r="I46" s="51">
        <v>340</v>
      </c>
      <c r="J46" s="51">
        <v>380</v>
      </c>
      <c r="K46" s="82">
        <v>1.2</v>
      </c>
      <c r="L46" s="82">
        <v>0.75</v>
      </c>
      <c r="M46" s="82">
        <v>0.8</v>
      </c>
      <c r="N46" s="36"/>
    </row>
    <row r="47" spans="1:14" s="9" customFormat="1" ht="20.399999999999999" x14ac:dyDescent="0.2">
      <c r="A47" s="140" t="s">
        <v>1688</v>
      </c>
      <c r="B47" s="140" t="s">
        <v>1675</v>
      </c>
      <c r="C47" s="34" t="s">
        <v>21</v>
      </c>
      <c r="D47" s="141"/>
      <c r="E47" s="35">
        <v>1</v>
      </c>
      <c r="F47" s="227" t="s">
        <v>1692</v>
      </c>
      <c r="G47" s="75">
        <v>1</v>
      </c>
      <c r="H47" s="129" t="s">
        <v>14</v>
      </c>
      <c r="I47" s="48">
        <v>1194</v>
      </c>
      <c r="J47" s="48">
        <v>1194</v>
      </c>
      <c r="K47" s="82"/>
      <c r="L47" s="82"/>
      <c r="M47" s="82"/>
      <c r="N47" s="36" t="s">
        <v>1687</v>
      </c>
    </row>
    <row r="48" spans="1:14" s="9" customFormat="1" ht="20.399999999999999" x14ac:dyDescent="0.2">
      <c r="A48" s="140" t="s">
        <v>1688</v>
      </c>
      <c r="B48" s="140" t="s">
        <v>1675</v>
      </c>
      <c r="C48" s="34" t="s">
        <v>21</v>
      </c>
      <c r="D48" s="141"/>
      <c r="E48" s="35">
        <v>1</v>
      </c>
      <c r="F48" s="227" t="s">
        <v>1693</v>
      </c>
      <c r="G48" s="75">
        <v>1</v>
      </c>
      <c r="H48" s="129" t="s">
        <v>14</v>
      </c>
      <c r="I48" s="48">
        <v>330</v>
      </c>
      <c r="J48" s="48">
        <v>330</v>
      </c>
      <c r="K48" s="82"/>
      <c r="L48" s="82"/>
      <c r="M48" s="82"/>
      <c r="N48" s="36" t="s">
        <v>1687</v>
      </c>
    </row>
    <row r="49" spans="1:14" s="9" customFormat="1" ht="20.399999999999999" x14ac:dyDescent="0.25">
      <c r="A49" s="140" t="s">
        <v>1690</v>
      </c>
      <c r="B49" s="140">
        <v>2021</v>
      </c>
      <c r="C49" s="34" t="s">
        <v>21</v>
      </c>
      <c r="D49" s="141"/>
      <c r="E49" s="35">
        <v>1</v>
      </c>
      <c r="F49" s="164" t="s">
        <v>1691</v>
      </c>
      <c r="G49" s="75">
        <v>1</v>
      </c>
      <c r="H49" s="76" t="s">
        <v>14</v>
      </c>
      <c r="I49" s="51">
        <v>1440</v>
      </c>
      <c r="J49" s="51">
        <v>1440</v>
      </c>
      <c r="K49" s="82"/>
      <c r="L49" s="82"/>
      <c r="M49" s="82"/>
      <c r="N49" s="228" t="s">
        <v>1694</v>
      </c>
    </row>
    <row r="50" spans="1:14" s="9" customFormat="1" ht="20.399999999999999" x14ac:dyDescent="0.25">
      <c r="A50" s="140" t="s">
        <v>1690</v>
      </c>
      <c r="B50" s="140">
        <v>2021</v>
      </c>
      <c r="C50" s="34" t="s">
        <v>21</v>
      </c>
      <c r="D50" s="141"/>
      <c r="E50" s="35">
        <v>1</v>
      </c>
      <c r="F50" s="164" t="s">
        <v>1695</v>
      </c>
      <c r="G50" s="75">
        <v>1</v>
      </c>
      <c r="H50" s="76" t="s">
        <v>14</v>
      </c>
      <c r="I50" s="51">
        <v>484</v>
      </c>
      <c r="J50" s="51">
        <v>484</v>
      </c>
      <c r="K50" s="82"/>
      <c r="L50" s="82"/>
      <c r="M50" s="82"/>
      <c r="N50" s="228" t="s">
        <v>1714</v>
      </c>
    </row>
    <row r="51" spans="1:14" s="9" customFormat="1" ht="20.399999999999999" x14ac:dyDescent="0.25">
      <c r="A51" s="140" t="s">
        <v>1690</v>
      </c>
      <c r="B51" s="140">
        <v>2021</v>
      </c>
      <c r="C51" s="34" t="s">
        <v>21</v>
      </c>
      <c r="D51" s="35"/>
      <c r="E51" s="35">
        <v>1</v>
      </c>
      <c r="F51" s="46" t="s">
        <v>1715</v>
      </c>
      <c r="G51" s="75">
        <v>1</v>
      </c>
      <c r="H51" s="76" t="s">
        <v>14</v>
      </c>
      <c r="I51" s="51">
        <v>11150</v>
      </c>
      <c r="J51" s="51">
        <v>11150</v>
      </c>
      <c r="K51" s="82">
        <v>2.77</v>
      </c>
      <c r="L51" s="82">
        <v>1.9</v>
      </c>
      <c r="M51" s="82">
        <v>2.4</v>
      </c>
      <c r="N51" s="36"/>
    </row>
    <row r="52" spans="1:14" s="9" customFormat="1" ht="12.75" customHeight="1" x14ac:dyDescent="0.25">
      <c r="A52" s="14"/>
      <c r="B52" s="14"/>
      <c r="C52" s="12"/>
      <c r="D52" s="169"/>
      <c r="E52" s="14"/>
      <c r="F52" s="170"/>
      <c r="G52" s="165"/>
      <c r="H52" s="166"/>
      <c r="I52" s="171"/>
      <c r="J52" s="171"/>
      <c r="K52" s="167"/>
      <c r="L52" s="167"/>
      <c r="M52" s="167"/>
      <c r="N52" s="168"/>
    </row>
    <row r="53" spans="1:14" s="9" customFormat="1" ht="12.75" customHeight="1" x14ac:dyDescent="0.25">
      <c r="A53" s="14"/>
      <c r="B53" s="14"/>
      <c r="C53" s="12"/>
      <c r="D53" s="169"/>
      <c r="E53" s="14"/>
      <c r="F53" s="170"/>
      <c r="G53" s="165"/>
      <c r="H53" s="166"/>
      <c r="I53" s="171"/>
      <c r="J53" s="171"/>
      <c r="K53" s="167"/>
      <c r="L53" s="167"/>
      <c r="M53" s="167"/>
      <c r="N53" s="168"/>
    </row>
    <row r="54" spans="1:14" s="9" customFormat="1" ht="12.75" customHeight="1" x14ac:dyDescent="0.25">
      <c r="A54" s="14"/>
      <c r="B54" s="14"/>
      <c r="C54" s="12"/>
      <c r="D54" s="169"/>
      <c r="E54" s="14"/>
      <c r="F54" s="170"/>
      <c r="G54" s="165"/>
      <c r="H54" s="166"/>
      <c r="I54" s="171"/>
      <c r="J54" s="171"/>
      <c r="K54" s="167"/>
      <c r="L54" s="167"/>
      <c r="M54" s="167"/>
      <c r="N54" s="168"/>
    </row>
    <row r="55" spans="1:14" s="9" customFormat="1" ht="12.75" customHeight="1" x14ac:dyDescent="0.25">
      <c r="A55" s="14"/>
      <c r="B55" s="14"/>
      <c r="C55" s="12"/>
      <c r="D55" s="169"/>
      <c r="E55" s="14"/>
      <c r="F55" s="170"/>
      <c r="G55" s="165"/>
      <c r="H55" s="166"/>
      <c r="I55" s="171"/>
      <c r="J55" s="171"/>
      <c r="K55" s="167"/>
      <c r="L55" s="167"/>
      <c r="M55" s="167"/>
      <c r="N55" s="168"/>
    </row>
    <row r="56" spans="1:14" s="9" customFormat="1" ht="12.75" customHeight="1" x14ac:dyDescent="0.25">
      <c r="A56" s="14"/>
      <c r="B56" s="14"/>
      <c r="C56" s="12"/>
      <c r="D56" s="169"/>
      <c r="E56" s="14"/>
      <c r="F56" s="170"/>
      <c r="G56" s="165"/>
      <c r="H56" s="166"/>
      <c r="I56" s="171"/>
      <c r="J56" s="171"/>
      <c r="K56" s="167"/>
      <c r="L56" s="167"/>
      <c r="M56" s="167"/>
      <c r="N56" s="168"/>
    </row>
    <row r="57" spans="1:14" s="9" customFormat="1" ht="12.75" customHeight="1" x14ac:dyDescent="0.25">
      <c r="A57" s="14"/>
      <c r="B57" s="14"/>
      <c r="C57" s="12"/>
      <c r="D57" s="169"/>
      <c r="E57" s="14"/>
      <c r="F57" s="170"/>
      <c r="G57" s="165"/>
      <c r="H57" s="166"/>
      <c r="I57" s="171"/>
      <c r="J57" s="171"/>
      <c r="K57" s="167"/>
      <c r="L57" s="167"/>
      <c r="M57" s="167"/>
      <c r="N57" s="168"/>
    </row>
    <row r="58" spans="1:14" s="9" customFormat="1" ht="12.75" customHeight="1" x14ac:dyDescent="0.25">
      <c r="A58" s="14"/>
      <c r="B58" s="14"/>
      <c r="C58" s="12"/>
      <c r="D58" s="169"/>
      <c r="E58" s="14"/>
      <c r="F58" s="170"/>
      <c r="G58" s="165"/>
      <c r="H58" s="166"/>
      <c r="I58" s="171"/>
      <c r="J58" s="171"/>
      <c r="K58" s="167"/>
      <c r="L58" s="167"/>
      <c r="M58" s="167"/>
      <c r="N58" s="168"/>
    </row>
    <row r="59" spans="1:14" s="9" customFormat="1" ht="12.75" customHeight="1" x14ac:dyDescent="0.25">
      <c r="A59" s="14"/>
      <c r="B59" s="14"/>
      <c r="C59" s="12"/>
      <c r="D59" s="169"/>
      <c r="E59" s="14"/>
      <c r="F59" s="170"/>
      <c r="G59" s="165"/>
      <c r="H59" s="166"/>
      <c r="I59" s="171"/>
      <c r="J59" s="171"/>
      <c r="K59" s="167"/>
      <c r="L59" s="167"/>
      <c r="M59" s="167"/>
      <c r="N59" s="168"/>
    </row>
    <row r="60" spans="1:14" x14ac:dyDescent="0.25">
      <c r="F60" s="1"/>
      <c r="G60" s="1"/>
      <c r="H60" s="1"/>
      <c r="J60" s="18"/>
      <c r="K60" s="18"/>
      <c r="L60" s="18"/>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2726-7BC2-4D2A-AA3F-2F528907DB0F}">
  <dimension ref="A1:P61"/>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1743</v>
      </c>
      <c r="L1" s="265" t="s">
        <v>1738</v>
      </c>
      <c r="M1" s="81" t="s">
        <v>1739</v>
      </c>
      <c r="N1" s="39" t="s">
        <v>124</v>
      </c>
      <c r="O1" s="7"/>
      <c r="P1" s="7"/>
    </row>
    <row r="2" spans="1:16" s="8" customFormat="1" ht="26.4" x14ac:dyDescent="0.25">
      <c r="A2" s="140" t="s">
        <v>88</v>
      </c>
      <c r="B2" s="140" t="s">
        <v>83</v>
      </c>
      <c r="C2" s="34" t="s">
        <v>21</v>
      </c>
      <c r="D2" s="35" t="s">
        <v>9</v>
      </c>
      <c r="E2" s="35">
        <v>1</v>
      </c>
      <c r="F2" s="46" t="s">
        <v>96</v>
      </c>
      <c r="G2" s="72">
        <v>1</v>
      </c>
      <c r="H2" s="76" t="s">
        <v>14</v>
      </c>
      <c r="I2" s="48">
        <v>11700</v>
      </c>
      <c r="J2" s="48">
        <v>11700</v>
      </c>
      <c r="K2" s="84">
        <v>12.3</v>
      </c>
      <c r="L2" s="84">
        <v>3.3</v>
      </c>
      <c r="M2" s="84">
        <v>3.3</v>
      </c>
      <c r="N2" s="37" t="s">
        <v>1</v>
      </c>
    </row>
    <row r="3" spans="1:16" s="8" customFormat="1" ht="20.399999999999999" x14ac:dyDescent="0.25">
      <c r="A3" s="140" t="s">
        <v>88</v>
      </c>
      <c r="B3" s="140" t="s">
        <v>83</v>
      </c>
      <c r="C3" s="34" t="s">
        <v>21</v>
      </c>
      <c r="D3" s="35"/>
      <c r="E3" s="35">
        <v>1</v>
      </c>
      <c r="F3" s="46" t="s">
        <v>11</v>
      </c>
      <c r="G3" s="72">
        <v>1</v>
      </c>
      <c r="H3" s="76" t="s">
        <v>14</v>
      </c>
      <c r="I3" s="48">
        <v>10360</v>
      </c>
      <c r="J3" s="48">
        <v>10360</v>
      </c>
      <c r="K3" s="84">
        <v>9</v>
      </c>
      <c r="L3" s="84">
        <v>3.95</v>
      </c>
      <c r="M3" s="84">
        <v>3.95</v>
      </c>
      <c r="N3" s="37" t="s">
        <v>1</v>
      </c>
    </row>
    <row r="4" spans="1:16" s="8" customFormat="1" ht="26.4" x14ac:dyDescent="0.25">
      <c r="A4" s="140" t="s">
        <v>88</v>
      </c>
      <c r="B4" s="140" t="s">
        <v>129</v>
      </c>
      <c r="C4" s="34" t="s">
        <v>97</v>
      </c>
      <c r="D4" s="35" t="s">
        <v>95</v>
      </c>
      <c r="E4" s="35">
        <v>1</v>
      </c>
      <c r="F4" s="46" t="s">
        <v>103</v>
      </c>
      <c r="G4" s="72">
        <v>1</v>
      </c>
      <c r="H4" s="76" t="s">
        <v>14</v>
      </c>
      <c r="I4" s="48">
        <v>355</v>
      </c>
      <c r="J4" s="48">
        <v>355</v>
      </c>
      <c r="K4" s="84">
        <v>3.54</v>
      </c>
      <c r="L4" s="84">
        <v>0.68</v>
      </c>
      <c r="M4" s="84">
        <v>0.46</v>
      </c>
      <c r="N4" s="37" t="s">
        <v>85</v>
      </c>
    </row>
    <row r="5" spans="1:16" s="8" customFormat="1" ht="26.4" x14ac:dyDescent="0.25">
      <c r="A5" s="140" t="s">
        <v>88</v>
      </c>
      <c r="B5" s="140" t="s">
        <v>129</v>
      </c>
      <c r="C5" s="34" t="s">
        <v>97</v>
      </c>
      <c r="D5" s="35" t="s">
        <v>9</v>
      </c>
      <c r="E5" s="35">
        <v>1</v>
      </c>
      <c r="F5" s="46" t="s">
        <v>102</v>
      </c>
      <c r="G5" s="72">
        <v>1</v>
      </c>
      <c r="H5" s="76" t="s">
        <v>14</v>
      </c>
      <c r="I5" s="48">
        <v>9200</v>
      </c>
      <c r="J5" s="48">
        <v>9200</v>
      </c>
      <c r="K5" s="84">
        <v>9.51</v>
      </c>
      <c r="L5" s="84">
        <v>2.59</v>
      </c>
      <c r="M5" s="84">
        <v>2.71</v>
      </c>
      <c r="N5" s="37" t="s">
        <v>85</v>
      </c>
    </row>
    <row r="6" spans="1:16" s="8" customFormat="1" ht="26.4" x14ac:dyDescent="0.25">
      <c r="A6" s="140" t="s">
        <v>88</v>
      </c>
      <c r="B6" s="140" t="s">
        <v>129</v>
      </c>
      <c r="C6" s="34" t="s">
        <v>97</v>
      </c>
      <c r="D6" s="35" t="s">
        <v>91</v>
      </c>
      <c r="E6" s="35">
        <v>1</v>
      </c>
      <c r="F6" s="46" t="s">
        <v>100</v>
      </c>
      <c r="G6" s="72">
        <v>1</v>
      </c>
      <c r="H6" s="76" t="s">
        <v>14</v>
      </c>
      <c r="I6" s="48">
        <v>1080</v>
      </c>
      <c r="J6" s="48">
        <v>1080</v>
      </c>
      <c r="K6" s="84">
        <v>4.5</v>
      </c>
      <c r="L6" s="84">
        <v>1.91</v>
      </c>
      <c r="M6" s="84">
        <v>1.47</v>
      </c>
      <c r="N6" s="37" t="s">
        <v>85</v>
      </c>
    </row>
    <row r="7" spans="1:16" s="8" customFormat="1" ht="26.4" x14ac:dyDescent="0.25">
      <c r="A7" s="140" t="s">
        <v>88</v>
      </c>
      <c r="B7" s="140" t="s">
        <v>129</v>
      </c>
      <c r="C7" s="34" t="s">
        <v>97</v>
      </c>
      <c r="D7" s="35" t="s">
        <v>92</v>
      </c>
      <c r="E7" s="35">
        <v>1</v>
      </c>
      <c r="F7" s="46" t="s">
        <v>101</v>
      </c>
      <c r="G7" s="72">
        <v>1</v>
      </c>
      <c r="H7" s="76" t="s">
        <v>14</v>
      </c>
      <c r="I7" s="48">
        <v>255</v>
      </c>
      <c r="J7" s="48">
        <v>255</v>
      </c>
      <c r="K7" s="82">
        <v>3.49</v>
      </c>
      <c r="L7" s="82">
        <v>0.68</v>
      </c>
      <c r="M7" s="82">
        <v>0.56000000000000005</v>
      </c>
      <c r="N7" s="37" t="s">
        <v>85</v>
      </c>
    </row>
    <row r="8" spans="1:16" s="8" customFormat="1" ht="26.4" x14ac:dyDescent="0.25">
      <c r="A8" s="140" t="s">
        <v>88</v>
      </c>
      <c r="B8" s="140" t="s">
        <v>129</v>
      </c>
      <c r="C8" s="34" t="s">
        <v>97</v>
      </c>
      <c r="D8" s="35" t="s">
        <v>93</v>
      </c>
      <c r="E8" s="35">
        <v>1</v>
      </c>
      <c r="F8" s="46" t="s">
        <v>99</v>
      </c>
      <c r="G8" s="72">
        <v>1</v>
      </c>
      <c r="H8" s="76" t="s">
        <v>14</v>
      </c>
      <c r="I8" s="48">
        <v>230</v>
      </c>
      <c r="J8" s="48">
        <v>230</v>
      </c>
      <c r="K8" s="82">
        <v>1.62</v>
      </c>
      <c r="L8" s="82">
        <v>0.92</v>
      </c>
      <c r="M8" s="82">
        <v>0.96</v>
      </c>
      <c r="N8" s="37" t="s">
        <v>85</v>
      </c>
    </row>
    <row r="9" spans="1:16" s="8" customFormat="1" ht="26.4" x14ac:dyDescent="0.25">
      <c r="A9" s="140" t="s">
        <v>88</v>
      </c>
      <c r="B9" s="140" t="s">
        <v>129</v>
      </c>
      <c r="C9" s="34" t="s">
        <v>97</v>
      </c>
      <c r="D9" s="35" t="s">
        <v>94</v>
      </c>
      <c r="E9" s="35">
        <v>1</v>
      </c>
      <c r="F9" s="46" t="s">
        <v>98</v>
      </c>
      <c r="G9" s="72">
        <v>1</v>
      </c>
      <c r="H9" s="76" t="s">
        <v>14</v>
      </c>
      <c r="I9" s="48">
        <v>490</v>
      </c>
      <c r="J9" s="48">
        <v>490</v>
      </c>
      <c r="K9" s="82">
        <v>2.69</v>
      </c>
      <c r="L9" s="82">
        <v>1.19</v>
      </c>
      <c r="M9" s="82">
        <v>0.85</v>
      </c>
      <c r="N9" s="37" t="s">
        <v>85</v>
      </c>
    </row>
    <row r="10" spans="1:16" s="8" customFormat="1" ht="20.399999999999999" x14ac:dyDescent="0.25">
      <c r="A10" s="140" t="s">
        <v>88</v>
      </c>
      <c r="B10" s="140" t="s">
        <v>129</v>
      </c>
      <c r="C10" s="34" t="s">
        <v>20</v>
      </c>
      <c r="D10" s="35" t="s">
        <v>115</v>
      </c>
      <c r="E10" s="35">
        <v>1</v>
      </c>
      <c r="F10" s="46" t="s">
        <v>116</v>
      </c>
      <c r="G10" s="72">
        <v>1</v>
      </c>
      <c r="H10" s="76" t="s">
        <v>14</v>
      </c>
      <c r="I10" s="48">
        <v>62</v>
      </c>
      <c r="J10" s="48">
        <v>62</v>
      </c>
      <c r="K10" s="82"/>
      <c r="L10" s="82"/>
      <c r="M10" s="82"/>
      <c r="N10" s="37" t="s">
        <v>114</v>
      </c>
    </row>
    <row r="11" spans="1:16" s="8" customFormat="1" ht="20.399999999999999" x14ac:dyDescent="0.25">
      <c r="A11" s="140" t="s">
        <v>88</v>
      </c>
      <c r="B11" s="140" t="s">
        <v>129</v>
      </c>
      <c r="C11" s="34" t="s">
        <v>20</v>
      </c>
      <c r="D11" s="35" t="s">
        <v>112</v>
      </c>
      <c r="E11" s="35"/>
      <c r="F11" s="46" t="s">
        <v>117</v>
      </c>
      <c r="G11" s="72">
        <v>1</v>
      </c>
      <c r="H11" s="76" t="s">
        <v>14</v>
      </c>
      <c r="I11" s="48">
        <v>190</v>
      </c>
      <c r="J11" s="48">
        <v>190</v>
      </c>
      <c r="K11" s="82"/>
      <c r="L11" s="82"/>
      <c r="M11" s="82"/>
      <c r="N11" s="37" t="s">
        <v>114</v>
      </c>
    </row>
    <row r="12" spans="1:16" s="8" customFormat="1" ht="20.399999999999999" x14ac:dyDescent="0.25">
      <c r="A12" s="140" t="s">
        <v>88</v>
      </c>
      <c r="B12" s="140" t="s">
        <v>129</v>
      </c>
      <c r="C12" s="34" t="s">
        <v>20</v>
      </c>
      <c r="D12" s="35" t="s">
        <v>113</v>
      </c>
      <c r="E12" s="35"/>
      <c r="F12" s="46" t="s">
        <v>118</v>
      </c>
      <c r="G12" s="72">
        <v>1</v>
      </c>
      <c r="H12" s="76" t="s">
        <v>14</v>
      </c>
      <c r="I12" s="48">
        <v>80</v>
      </c>
      <c r="J12" s="48">
        <v>80</v>
      </c>
      <c r="K12" s="82"/>
      <c r="L12" s="82"/>
      <c r="M12" s="82"/>
      <c r="N12" s="37" t="s">
        <v>114</v>
      </c>
    </row>
    <row r="13" spans="1:16" s="8" customFormat="1" ht="26.4" x14ac:dyDescent="0.25">
      <c r="A13" s="140" t="s">
        <v>88</v>
      </c>
      <c r="B13" s="140" t="s">
        <v>129</v>
      </c>
      <c r="C13" s="34" t="s">
        <v>20</v>
      </c>
      <c r="D13" s="35" t="s">
        <v>111</v>
      </c>
      <c r="E13" s="35">
        <v>1</v>
      </c>
      <c r="F13" s="46" t="s">
        <v>121</v>
      </c>
      <c r="G13" s="72">
        <v>1</v>
      </c>
      <c r="H13" s="76" t="s">
        <v>14</v>
      </c>
      <c r="I13" s="48">
        <v>160</v>
      </c>
      <c r="J13" s="48">
        <v>214</v>
      </c>
      <c r="K13" s="82">
        <v>1.78</v>
      </c>
      <c r="L13" s="82">
        <v>0.43</v>
      </c>
      <c r="M13" s="82">
        <v>0.51</v>
      </c>
      <c r="N13" s="37" t="s">
        <v>114</v>
      </c>
    </row>
    <row r="14" spans="1:16" s="8" customFormat="1" ht="26.4" x14ac:dyDescent="0.25">
      <c r="A14" s="140" t="s">
        <v>88</v>
      </c>
      <c r="B14" s="140" t="s">
        <v>129</v>
      </c>
      <c r="C14" s="34" t="s">
        <v>20</v>
      </c>
      <c r="D14" s="35" t="s">
        <v>112</v>
      </c>
      <c r="E14" s="35">
        <v>1</v>
      </c>
      <c r="F14" s="46" t="s">
        <v>120</v>
      </c>
      <c r="G14" s="72">
        <v>1</v>
      </c>
      <c r="H14" s="76" t="s">
        <v>14</v>
      </c>
      <c r="I14" s="48">
        <v>175</v>
      </c>
      <c r="J14" s="48">
        <v>229</v>
      </c>
      <c r="K14" s="82">
        <v>1.78</v>
      </c>
      <c r="L14" s="82">
        <v>0.43</v>
      </c>
      <c r="M14" s="82">
        <v>0.51</v>
      </c>
      <c r="N14" s="37" t="s">
        <v>114</v>
      </c>
    </row>
    <row r="15" spans="1:16" s="8" customFormat="1" ht="26.4" x14ac:dyDescent="0.25">
      <c r="A15" s="140" t="s">
        <v>88</v>
      </c>
      <c r="B15" s="140" t="s">
        <v>129</v>
      </c>
      <c r="C15" s="34" t="s">
        <v>20</v>
      </c>
      <c r="D15" s="35" t="s">
        <v>113</v>
      </c>
      <c r="E15" s="35">
        <v>1</v>
      </c>
      <c r="F15" s="46" t="s">
        <v>119</v>
      </c>
      <c r="G15" s="72">
        <v>1</v>
      </c>
      <c r="H15" s="76" t="s">
        <v>14</v>
      </c>
      <c r="I15" s="48">
        <v>153</v>
      </c>
      <c r="J15" s="48">
        <v>207</v>
      </c>
      <c r="K15" s="82">
        <v>1.78</v>
      </c>
      <c r="L15" s="82">
        <v>0.43</v>
      </c>
      <c r="M15" s="82">
        <v>0.51</v>
      </c>
      <c r="N15" s="37" t="s">
        <v>114</v>
      </c>
    </row>
    <row r="16" spans="1:16" s="8" customFormat="1" ht="20.399999999999999" x14ac:dyDescent="0.25">
      <c r="A16" s="140" t="s">
        <v>88</v>
      </c>
      <c r="B16" s="140" t="s">
        <v>226</v>
      </c>
      <c r="C16" s="34" t="s">
        <v>21</v>
      </c>
      <c r="D16" s="68" t="s">
        <v>228</v>
      </c>
      <c r="E16" s="35">
        <v>1</v>
      </c>
      <c r="F16" s="46" t="s">
        <v>229</v>
      </c>
      <c r="G16" s="72">
        <v>1</v>
      </c>
      <c r="H16" s="76" t="s">
        <v>14</v>
      </c>
      <c r="I16" s="90">
        <v>10000</v>
      </c>
      <c r="J16" s="90">
        <v>10000</v>
      </c>
      <c r="K16" s="82">
        <v>11.43</v>
      </c>
      <c r="L16" s="82">
        <v>3.54</v>
      </c>
      <c r="M16" s="82">
        <v>3.47</v>
      </c>
      <c r="N16" s="37"/>
    </row>
    <row r="17" spans="1:14" s="8" customFormat="1" ht="20.399999999999999" x14ac:dyDescent="0.25">
      <c r="A17" s="140" t="s">
        <v>88</v>
      </c>
      <c r="B17" s="140" t="s">
        <v>226</v>
      </c>
      <c r="C17" s="34" t="s">
        <v>21</v>
      </c>
      <c r="D17" s="68" t="s">
        <v>230</v>
      </c>
      <c r="E17" s="35">
        <v>1</v>
      </c>
      <c r="F17" s="46" t="s">
        <v>231</v>
      </c>
      <c r="G17" s="72">
        <v>1</v>
      </c>
      <c r="H17" s="76" t="s">
        <v>14</v>
      </c>
      <c r="I17" s="90">
        <v>10000</v>
      </c>
      <c r="J17" s="90">
        <v>10000</v>
      </c>
      <c r="K17" s="82">
        <v>11.43</v>
      </c>
      <c r="L17" s="82">
        <v>3.54</v>
      </c>
      <c r="M17" s="82">
        <v>3.47</v>
      </c>
      <c r="N17" s="37"/>
    </row>
    <row r="18" spans="1:14" s="8" customFormat="1" ht="20.399999999999999" x14ac:dyDescent="0.25">
      <c r="A18" s="140" t="s">
        <v>88</v>
      </c>
      <c r="B18" s="140" t="s">
        <v>226</v>
      </c>
      <c r="C18" s="34" t="s">
        <v>21</v>
      </c>
      <c r="D18" s="68" t="s">
        <v>232</v>
      </c>
      <c r="E18" s="35">
        <v>1</v>
      </c>
      <c r="F18" s="46" t="s">
        <v>233</v>
      </c>
      <c r="G18" s="72">
        <v>1</v>
      </c>
      <c r="H18" s="76" t="s">
        <v>14</v>
      </c>
      <c r="I18" s="90">
        <v>10000</v>
      </c>
      <c r="J18" s="90">
        <v>10000</v>
      </c>
      <c r="K18" s="82">
        <v>11.43</v>
      </c>
      <c r="L18" s="82">
        <v>3.54</v>
      </c>
      <c r="M18" s="82">
        <v>3.47</v>
      </c>
      <c r="N18" s="37"/>
    </row>
    <row r="19" spans="1:14" s="8" customFormat="1" ht="20.399999999999999" x14ac:dyDescent="0.25">
      <c r="A19" s="140" t="s">
        <v>88</v>
      </c>
      <c r="B19" s="140" t="s">
        <v>226</v>
      </c>
      <c r="C19" s="34" t="s">
        <v>21</v>
      </c>
      <c r="D19" s="35" t="s">
        <v>234</v>
      </c>
      <c r="E19" s="35">
        <v>1</v>
      </c>
      <c r="F19" s="46" t="s">
        <v>235</v>
      </c>
      <c r="G19" s="72">
        <v>1</v>
      </c>
      <c r="H19" s="76" t="s">
        <v>14</v>
      </c>
      <c r="I19" s="90">
        <v>12000</v>
      </c>
      <c r="J19" s="90">
        <v>12000</v>
      </c>
      <c r="K19" s="82">
        <v>12.22</v>
      </c>
      <c r="L19" s="82">
        <v>3.57</v>
      </c>
      <c r="M19" s="82">
        <v>3.47</v>
      </c>
      <c r="N19" s="37"/>
    </row>
    <row r="20" spans="1:14" s="8" customFormat="1" ht="20.399999999999999" x14ac:dyDescent="0.25">
      <c r="A20" s="140" t="s">
        <v>88</v>
      </c>
      <c r="B20" s="140" t="s">
        <v>226</v>
      </c>
      <c r="C20" s="34" t="s">
        <v>21</v>
      </c>
      <c r="D20" s="35" t="s">
        <v>236</v>
      </c>
      <c r="E20" s="35">
        <v>1</v>
      </c>
      <c r="F20" s="46" t="s">
        <v>237</v>
      </c>
      <c r="G20" s="72">
        <v>1</v>
      </c>
      <c r="H20" s="76" t="s">
        <v>14</v>
      </c>
      <c r="I20" s="90">
        <v>11000</v>
      </c>
      <c r="J20" s="90">
        <v>11000</v>
      </c>
      <c r="K20" s="82">
        <v>12.22</v>
      </c>
      <c r="L20" s="82">
        <v>3.57</v>
      </c>
      <c r="M20" s="82">
        <v>3.47</v>
      </c>
      <c r="N20" s="37"/>
    </row>
    <row r="21" spans="1:14" s="8" customFormat="1" ht="20.399999999999999" x14ac:dyDescent="0.25">
      <c r="A21" s="140" t="s">
        <v>88</v>
      </c>
      <c r="B21" s="181" t="s">
        <v>226</v>
      </c>
      <c r="C21" s="194" t="s">
        <v>21</v>
      </c>
      <c r="D21" s="56" t="s">
        <v>214</v>
      </c>
      <c r="E21" s="56">
        <v>1</v>
      </c>
      <c r="F21" s="91" t="s">
        <v>215</v>
      </c>
      <c r="G21" s="92">
        <v>1</v>
      </c>
      <c r="H21" s="76" t="s">
        <v>14</v>
      </c>
      <c r="I21" s="93">
        <v>3600</v>
      </c>
      <c r="J21" s="93">
        <v>3600</v>
      </c>
      <c r="K21" s="94">
        <v>6.76</v>
      </c>
      <c r="L21" s="94">
        <v>2.23</v>
      </c>
      <c r="M21" s="94">
        <v>2.2799999999999998</v>
      </c>
      <c r="N21" s="95" t="s">
        <v>2</v>
      </c>
    </row>
    <row r="22" spans="1:14" s="8" customFormat="1" ht="20.399999999999999" x14ac:dyDescent="0.25">
      <c r="A22" s="140" t="s">
        <v>88</v>
      </c>
      <c r="B22" s="140" t="s">
        <v>226</v>
      </c>
      <c r="C22" s="34" t="s">
        <v>21</v>
      </c>
      <c r="D22" s="35" t="s">
        <v>216</v>
      </c>
      <c r="E22" s="35">
        <v>1</v>
      </c>
      <c r="F22" s="46" t="s">
        <v>217</v>
      </c>
      <c r="G22" s="72">
        <v>1</v>
      </c>
      <c r="H22" s="76" t="s">
        <v>14</v>
      </c>
      <c r="I22" s="48">
        <v>1190</v>
      </c>
      <c r="J22" s="48">
        <v>1190</v>
      </c>
      <c r="K22" s="82">
        <v>4.09</v>
      </c>
      <c r="L22" s="82">
        <v>2.17</v>
      </c>
      <c r="M22" s="82">
        <v>1.9</v>
      </c>
      <c r="N22" s="37" t="s">
        <v>2</v>
      </c>
    </row>
    <row r="23" spans="1:14" s="8" customFormat="1" ht="26.4" x14ac:dyDescent="0.25">
      <c r="A23" s="140" t="s">
        <v>88</v>
      </c>
      <c r="B23" s="140" t="s">
        <v>226</v>
      </c>
      <c r="C23" s="34" t="s">
        <v>21</v>
      </c>
      <c r="D23" s="35" t="s">
        <v>218</v>
      </c>
      <c r="E23" s="35">
        <v>1</v>
      </c>
      <c r="F23" s="46" t="s">
        <v>225</v>
      </c>
      <c r="G23" s="72">
        <v>1</v>
      </c>
      <c r="H23" s="76" t="s">
        <v>14</v>
      </c>
      <c r="I23" s="48">
        <v>8560</v>
      </c>
      <c r="J23" s="48">
        <v>8560</v>
      </c>
      <c r="K23" s="82">
        <v>11.83</v>
      </c>
      <c r="L23" s="82">
        <v>2.72</v>
      </c>
      <c r="M23" s="82">
        <v>3.05</v>
      </c>
      <c r="N23" s="37" t="s">
        <v>2</v>
      </c>
    </row>
    <row r="24" spans="1:14" s="8" customFormat="1" ht="20.399999999999999" x14ac:dyDescent="0.25">
      <c r="A24" s="140" t="s">
        <v>88</v>
      </c>
      <c r="B24" s="140" t="s">
        <v>226</v>
      </c>
      <c r="C24" s="34" t="s">
        <v>21</v>
      </c>
      <c r="D24" s="35" t="s">
        <v>219</v>
      </c>
      <c r="E24" s="35">
        <v>1</v>
      </c>
      <c r="F24" s="46" t="s">
        <v>220</v>
      </c>
      <c r="G24" s="72">
        <v>1</v>
      </c>
      <c r="H24" s="76" t="s">
        <v>14</v>
      </c>
      <c r="I24" s="48">
        <v>5110</v>
      </c>
      <c r="J24" s="48">
        <v>5110</v>
      </c>
      <c r="K24" s="82">
        <v>10.210000000000001</v>
      </c>
      <c r="L24" s="82">
        <v>2.63</v>
      </c>
      <c r="M24" s="82">
        <v>2.4500000000000002</v>
      </c>
      <c r="N24" s="37" t="s">
        <v>2</v>
      </c>
    </row>
    <row r="25" spans="1:14" s="8" customFormat="1" ht="20.399999999999999" x14ac:dyDescent="0.25">
      <c r="A25" s="140" t="s">
        <v>88</v>
      </c>
      <c r="B25" s="140" t="s">
        <v>226</v>
      </c>
      <c r="C25" s="34" t="s">
        <v>21</v>
      </c>
      <c r="D25" s="35" t="s">
        <v>221</v>
      </c>
      <c r="E25" s="35">
        <v>1</v>
      </c>
      <c r="F25" s="46" t="s">
        <v>222</v>
      </c>
      <c r="G25" s="72">
        <v>1</v>
      </c>
      <c r="H25" s="76" t="s">
        <v>14</v>
      </c>
      <c r="I25" s="48">
        <v>1650</v>
      </c>
      <c r="J25" s="48">
        <v>1650</v>
      </c>
      <c r="K25" s="82">
        <v>3.66</v>
      </c>
      <c r="L25" s="82">
        <v>1.77</v>
      </c>
      <c r="M25" s="82">
        <v>1.71</v>
      </c>
      <c r="N25" s="37" t="s">
        <v>2</v>
      </c>
    </row>
    <row r="26" spans="1:14" s="8" customFormat="1" ht="20.399999999999999" x14ac:dyDescent="0.25">
      <c r="A26" s="140" t="s">
        <v>88</v>
      </c>
      <c r="B26" s="140" t="s">
        <v>226</v>
      </c>
      <c r="C26" s="34" t="s">
        <v>21</v>
      </c>
      <c r="D26" s="35" t="s">
        <v>223</v>
      </c>
      <c r="E26" s="35">
        <v>1</v>
      </c>
      <c r="F26" s="46" t="s">
        <v>224</v>
      </c>
      <c r="G26" s="72">
        <v>1</v>
      </c>
      <c r="H26" s="76" t="s">
        <v>14</v>
      </c>
      <c r="I26" s="48">
        <v>1250</v>
      </c>
      <c r="J26" s="48">
        <v>1250</v>
      </c>
      <c r="K26" s="82">
        <v>8.36</v>
      </c>
      <c r="L26" s="82">
        <v>0.75</v>
      </c>
      <c r="M26" s="82">
        <v>0.73</v>
      </c>
      <c r="N26" s="37" t="s">
        <v>2</v>
      </c>
    </row>
    <row r="27" spans="1:14" s="8" customFormat="1" ht="20.399999999999999" x14ac:dyDescent="0.25">
      <c r="A27" s="140" t="s">
        <v>1173</v>
      </c>
      <c r="B27" s="140" t="s">
        <v>1175</v>
      </c>
      <c r="C27" s="34" t="s">
        <v>21</v>
      </c>
      <c r="D27" s="35" t="s">
        <v>1137</v>
      </c>
      <c r="E27" s="35">
        <v>1</v>
      </c>
      <c r="F27" s="46" t="s">
        <v>1138</v>
      </c>
      <c r="G27" s="184">
        <v>1</v>
      </c>
      <c r="H27" s="182" t="s">
        <v>14</v>
      </c>
      <c r="I27" s="51">
        <v>1260</v>
      </c>
      <c r="J27" s="51">
        <v>1260</v>
      </c>
      <c r="K27" s="82">
        <v>5.05</v>
      </c>
      <c r="L27" s="82">
        <v>2.15</v>
      </c>
      <c r="M27" s="82">
        <v>2.15</v>
      </c>
    </row>
    <row r="28" spans="1:14" s="8" customFormat="1" ht="20.399999999999999" x14ac:dyDescent="0.25">
      <c r="A28" s="140" t="s">
        <v>1173</v>
      </c>
      <c r="B28" s="140" t="s">
        <v>1175</v>
      </c>
      <c r="C28" s="34" t="s">
        <v>21</v>
      </c>
      <c r="D28" s="35" t="s">
        <v>1139</v>
      </c>
      <c r="E28" s="35">
        <v>1</v>
      </c>
      <c r="F28" s="46" t="s">
        <v>1140</v>
      </c>
      <c r="G28" s="184">
        <v>1</v>
      </c>
      <c r="H28" s="182" t="s">
        <v>14</v>
      </c>
      <c r="I28" s="51">
        <v>810</v>
      </c>
      <c r="J28" s="51">
        <v>810</v>
      </c>
      <c r="K28" s="82">
        <v>3.02</v>
      </c>
      <c r="L28" s="82">
        <v>2.15</v>
      </c>
      <c r="M28" s="82">
        <v>2.25</v>
      </c>
    </row>
    <row r="29" spans="1:14" s="9" customFormat="1" ht="20.399999999999999" x14ac:dyDescent="0.25">
      <c r="A29" s="140" t="s">
        <v>1173</v>
      </c>
      <c r="B29" s="140" t="s">
        <v>1175</v>
      </c>
      <c r="C29" s="34" t="s">
        <v>21</v>
      </c>
      <c r="D29" s="35" t="s">
        <v>1141</v>
      </c>
      <c r="E29" s="35">
        <v>1</v>
      </c>
      <c r="F29" s="46" t="s">
        <v>1142</v>
      </c>
      <c r="G29" s="184">
        <v>1</v>
      </c>
      <c r="H29" s="182" t="s">
        <v>14</v>
      </c>
      <c r="I29" s="51">
        <v>305</v>
      </c>
      <c r="J29" s="51">
        <v>305</v>
      </c>
      <c r="K29" s="82">
        <v>1.55</v>
      </c>
      <c r="L29" s="82">
        <v>1.5</v>
      </c>
      <c r="M29" s="82">
        <v>1.5</v>
      </c>
    </row>
    <row r="30" spans="1:14" s="9" customFormat="1" ht="20.399999999999999" x14ac:dyDescent="0.25">
      <c r="A30" s="140" t="s">
        <v>1173</v>
      </c>
      <c r="B30" s="140" t="s">
        <v>1175</v>
      </c>
      <c r="C30" s="34" t="s">
        <v>21</v>
      </c>
      <c r="D30" s="35" t="s">
        <v>1143</v>
      </c>
      <c r="E30" s="35">
        <v>1</v>
      </c>
      <c r="F30" s="46" t="s">
        <v>1144</v>
      </c>
      <c r="G30" s="184">
        <v>1</v>
      </c>
      <c r="H30" s="182" t="s">
        <v>14</v>
      </c>
      <c r="I30" s="51">
        <v>65</v>
      </c>
      <c r="J30" s="51">
        <v>65</v>
      </c>
      <c r="K30" s="82">
        <v>0.9</v>
      </c>
      <c r="L30" s="82">
        <v>0.35</v>
      </c>
      <c r="M30" s="82">
        <v>0.45</v>
      </c>
    </row>
    <row r="31" spans="1:14" ht="20.399999999999999" x14ac:dyDescent="0.25">
      <c r="A31" s="140" t="s">
        <v>1173</v>
      </c>
      <c r="B31" s="140" t="s">
        <v>1175</v>
      </c>
      <c r="C31" s="34" t="s">
        <v>21</v>
      </c>
      <c r="D31" s="35" t="s">
        <v>1145</v>
      </c>
      <c r="E31" s="35">
        <v>1</v>
      </c>
      <c r="F31" s="46" t="s">
        <v>1146</v>
      </c>
      <c r="G31" s="184">
        <v>1</v>
      </c>
      <c r="H31" s="182" t="s">
        <v>14</v>
      </c>
      <c r="I31" s="51">
        <v>816</v>
      </c>
      <c r="J31" s="51">
        <v>816</v>
      </c>
      <c r="K31" s="82">
        <v>3.02</v>
      </c>
      <c r="L31" s="82">
        <v>2.1</v>
      </c>
      <c r="M31" s="82">
        <v>2.15</v>
      </c>
    </row>
    <row r="32" spans="1:14" ht="20.399999999999999" x14ac:dyDescent="0.25">
      <c r="A32" s="140" t="s">
        <v>1173</v>
      </c>
      <c r="B32" s="140" t="s">
        <v>1175</v>
      </c>
      <c r="C32" s="180" t="s">
        <v>21</v>
      </c>
      <c r="D32" s="35" t="s">
        <v>1147</v>
      </c>
      <c r="E32" s="35">
        <v>1</v>
      </c>
      <c r="F32" s="46" t="s">
        <v>1148</v>
      </c>
      <c r="G32" s="184">
        <v>1</v>
      </c>
      <c r="H32" s="182" t="s">
        <v>14</v>
      </c>
      <c r="I32" s="51">
        <v>816</v>
      </c>
      <c r="J32" s="51">
        <v>816</v>
      </c>
      <c r="K32" s="82">
        <v>3.05</v>
      </c>
      <c r="L32" s="82">
        <v>2.1</v>
      </c>
      <c r="M32" s="82">
        <v>2.2999999999999998</v>
      </c>
    </row>
    <row r="33" spans="1:13" ht="20.399999999999999" x14ac:dyDescent="0.25">
      <c r="A33" s="140" t="s">
        <v>1173</v>
      </c>
      <c r="B33" s="140" t="s">
        <v>1175</v>
      </c>
      <c r="C33" s="34" t="s">
        <v>21</v>
      </c>
      <c r="D33" s="35" t="s">
        <v>1149</v>
      </c>
      <c r="E33" s="35">
        <v>1</v>
      </c>
      <c r="F33" s="46" t="s">
        <v>1150</v>
      </c>
      <c r="G33" s="184">
        <v>1</v>
      </c>
      <c r="H33" s="182" t="s">
        <v>14</v>
      </c>
      <c r="I33" s="51">
        <v>560</v>
      </c>
      <c r="J33" s="51">
        <v>560</v>
      </c>
      <c r="K33" s="82">
        <v>1.25</v>
      </c>
      <c r="L33" s="82">
        <v>1.1000000000000001</v>
      </c>
      <c r="M33" s="82">
        <v>1.1499999999999999</v>
      </c>
    </row>
    <row r="34" spans="1:13" ht="20.399999999999999" x14ac:dyDescent="0.25">
      <c r="A34" s="140" t="s">
        <v>1173</v>
      </c>
      <c r="B34" s="140" t="s">
        <v>1175</v>
      </c>
      <c r="C34" s="34" t="s">
        <v>21</v>
      </c>
      <c r="D34" s="35" t="s">
        <v>1151</v>
      </c>
      <c r="E34" s="35">
        <v>1</v>
      </c>
      <c r="F34" s="46" t="s">
        <v>151</v>
      </c>
      <c r="G34" s="184">
        <v>1</v>
      </c>
      <c r="H34" s="182" t="s">
        <v>14</v>
      </c>
      <c r="I34" s="51">
        <v>220</v>
      </c>
      <c r="J34" s="51">
        <v>220</v>
      </c>
      <c r="K34" s="82">
        <v>2.65</v>
      </c>
      <c r="L34" s="82">
        <v>1</v>
      </c>
      <c r="M34" s="82">
        <v>1.2</v>
      </c>
    </row>
    <row r="35" spans="1:13" ht="20.399999999999999" x14ac:dyDescent="0.25">
      <c r="A35" s="140" t="s">
        <v>1173</v>
      </c>
      <c r="B35" s="140" t="s">
        <v>1175</v>
      </c>
      <c r="C35" s="34" t="s">
        <v>21</v>
      </c>
      <c r="D35" s="35" t="s">
        <v>1152</v>
      </c>
      <c r="E35" s="35">
        <v>1</v>
      </c>
      <c r="F35" s="46" t="s">
        <v>1153</v>
      </c>
      <c r="G35" s="191">
        <v>1</v>
      </c>
      <c r="H35" s="187" t="s">
        <v>14</v>
      </c>
      <c r="I35" s="48">
        <v>115</v>
      </c>
      <c r="J35" s="51">
        <v>115</v>
      </c>
      <c r="K35" s="82">
        <v>0.66</v>
      </c>
      <c r="L35" s="82">
        <v>0.55000000000000004</v>
      </c>
      <c r="M35" s="82">
        <v>0.5</v>
      </c>
    </row>
    <row r="36" spans="1:13" ht="20.399999999999999" x14ac:dyDescent="0.25">
      <c r="A36" s="140" t="s">
        <v>1173</v>
      </c>
      <c r="B36" s="140" t="s">
        <v>1175</v>
      </c>
      <c r="C36" s="34" t="s">
        <v>21</v>
      </c>
      <c r="D36" s="35" t="s">
        <v>1154</v>
      </c>
      <c r="E36" s="35">
        <v>1</v>
      </c>
      <c r="F36" s="46" t="s">
        <v>1155</v>
      </c>
      <c r="G36" s="184">
        <v>1</v>
      </c>
      <c r="H36" s="182" t="s">
        <v>14</v>
      </c>
      <c r="I36" s="51">
        <v>2550</v>
      </c>
      <c r="J36" s="51">
        <v>2550</v>
      </c>
      <c r="K36" s="82">
        <v>4.0999999999999996</v>
      </c>
      <c r="L36" s="82">
        <v>2.0499999999999998</v>
      </c>
      <c r="M36" s="82">
        <v>1.69</v>
      </c>
    </row>
    <row r="37" spans="1:13" ht="20.399999999999999" x14ac:dyDescent="0.25">
      <c r="A37" s="140" t="s">
        <v>1173</v>
      </c>
      <c r="B37" s="140" t="s">
        <v>1175</v>
      </c>
      <c r="C37" s="34" t="s">
        <v>21</v>
      </c>
      <c r="D37" s="35" t="s">
        <v>1156</v>
      </c>
      <c r="E37" s="35">
        <v>1</v>
      </c>
      <c r="F37" s="46" t="s">
        <v>1157</v>
      </c>
      <c r="G37" s="191">
        <v>1</v>
      </c>
      <c r="H37" s="187" t="s">
        <v>14</v>
      </c>
      <c r="I37" s="51">
        <v>330</v>
      </c>
      <c r="J37" s="51">
        <v>330</v>
      </c>
      <c r="K37" s="82">
        <v>1.87</v>
      </c>
      <c r="L37" s="82">
        <v>1</v>
      </c>
      <c r="M37" s="82">
        <v>1</v>
      </c>
    </row>
    <row r="38" spans="1:13" ht="20.399999999999999" x14ac:dyDescent="0.25">
      <c r="A38" s="140" t="s">
        <v>1173</v>
      </c>
      <c r="B38" s="140" t="s">
        <v>1175</v>
      </c>
      <c r="C38" s="34" t="s">
        <v>1176</v>
      </c>
      <c r="D38" s="35" t="s">
        <v>1180</v>
      </c>
      <c r="E38" s="35">
        <v>1</v>
      </c>
      <c r="F38" s="46" t="s">
        <v>1181</v>
      </c>
      <c r="G38" s="184">
        <v>1</v>
      </c>
      <c r="H38" s="182" t="s">
        <v>14</v>
      </c>
      <c r="I38" s="51">
        <v>2492</v>
      </c>
      <c r="J38" s="51">
        <v>2612</v>
      </c>
      <c r="K38" s="82">
        <v>7.15</v>
      </c>
      <c r="L38" s="82">
        <v>2.1</v>
      </c>
      <c r="M38" s="82">
        <v>2.1</v>
      </c>
    </row>
    <row r="39" spans="1:13" ht="20.399999999999999" x14ac:dyDescent="0.25">
      <c r="A39" s="140" t="s">
        <v>1173</v>
      </c>
      <c r="B39" s="140" t="s">
        <v>1175</v>
      </c>
      <c r="C39" s="34" t="s">
        <v>21</v>
      </c>
      <c r="D39" s="35" t="s">
        <v>1158</v>
      </c>
      <c r="E39" s="35">
        <v>1</v>
      </c>
      <c r="F39" s="46" t="s">
        <v>1159</v>
      </c>
      <c r="G39" s="184">
        <v>1</v>
      </c>
      <c r="H39" s="182" t="s">
        <v>14</v>
      </c>
      <c r="I39" s="51">
        <v>305</v>
      </c>
      <c r="J39" s="51">
        <v>305</v>
      </c>
      <c r="K39" s="82">
        <v>1.56</v>
      </c>
      <c r="L39" s="82">
        <v>1.45</v>
      </c>
      <c r="M39" s="82">
        <v>1.55</v>
      </c>
    </row>
    <row r="40" spans="1:13" ht="20.399999999999999" x14ac:dyDescent="0.25">
      <c r="A40" s="140" t="s">
        <v>1173</v>
      </c>
      <c r="B40" s="140" t="s">
        <v>1175</v>
      </c>
      <c r="C40" s="34" t="s">
        <v>21</v>
      </c>
      <c r="D40" s="35" t="s">
        <v>1160</v>
      </c>
      <c r="E40" s="35">
        <v>1</v>
      </c>
      <c r="F40" s="46" t="s">
        <v>1161</v>
      </c>
      <c r="G40" s="184">
        <v>1</v>
      </c>
      <c r="H40" s="182" t="s">
        <v>14</v>
      </c>
      <c r="I40" s="51">
        <v>420</v>
      </c>
      <c r="J40" s="51">
        <v>420</v>
      </c>
      <c r="K40" s="82">
        <v>2.02</v>
      </c>
      <c r="L40" s="82">
        <v>1.21</v>
      </c>
      <c r="M40" s="82">
        <v>1.18</v>
      </c>
    </row>
    <row r="41" spans="1:13" ht="20.399999999999999" x14ac:dyDescent="0.25">
      <c r="A41" s="140" t="s">
        <v>1173</v>
      </c>
      <c r="B41" s="140" t="s">
        <v>1175</v>
      </c>
      <c r="C41" s="34" t="s">
        <v>21</v>
      </c>
      <c r="D41" s="35" t="s">
        <v>1162</v>
      </c>
      <c r="E41" s="35">
        <v>1</v>
      </c>
      <c r="F41" s="46" t="s">
        <v>1163</v>
      </c>
      <c r="G41" s="184">
        <v>1</v>
      </c>
      <c r="H41" s="182" t="s">
        <v>14</v>
      </c>
      <c r="I41" s="51">
        <v>305</v>
      </c>
      <c r="J41" s="51">
        <v>305</v>
      </c>
      <c r="K41" s="82">
        <v>1.56</v>
      </c>
      <c r="L41" s="82">
        <v>1.45</v>
      </c>
      <c r="M41" s="82">
        <v>1.55</v>
      </c>
    </row>
    <row r="42" spans="1:13" ht="20.399999999999999" x14ac:dyDescent="0.25">
      <c r="A42" s="140" t="s">
        <v>1173</v>
      </c>
      <c r="B42" s="140" t="s">
        <v>1175</v>
      </c>
      <c r="C42" s="34" t="s">
        <v>21</v>
      </c>
      <c r="D42" s="35" t="s">
        <v>1164</v>
      </c>
      <c r="E42" s="35">
        <v>1</v>
      </c>
      <c r="F42" s="46" t="s">
        <v>1165</v>
      </c>
      <c r="G42" s="184">
        <v>1</v>
      </c>
      <c r="H42" s="182" t="s">
        <v>14</v>
      </c>
      <c r="I42" s="51">
        <v>144</v>
      </c>
      <c r="J42" s="51">
        <v>144</v>
      </c>
      <c r="K42" s="82">
        <v>1.75</v>
      </c>
      <c r="L42" s="82">
        <v>0.82</v>
      </c>
      <c r="M42" s="82">
        <v>0.85</v>
      </c>
    </row>
    <row r="43" spans="1:13" ht="20.399999999999999" x14ac:dyDescent="0.25">
      <c r="A43" s="140" t="s">
        <v>1173</v>
      </c>
      <c r="B43" s="140" t="s">
        <v>1175</v>
      </c>
      <c r="C43" s="34" t="s">
        <v>21</v>
      </c>
      <c r="D43" s="35" t="s">
        <v>1166</v>
      </c>
      <c r="E43" s="35">
        <v>1</v>
      </c>
      <c r="F43" s="46" t="s">
        <v>1167</v>
      </c>
      <c r="G43" s="184">
        <v>1</v>
      </c>
      <c r="H43" s="182" t="s">
        <v>14</v>
      </c>
      <c r="I43" s="51">
        <v>400</v>
      </c>
      <c r="J43" s="51">
        <v>400</v>
      </c>
      <c r="K43" s="82">
        <v>1.65</v>
      </c>
      <c r="L43" s="82">
        <v>0.97</v>
      </c>
      <c r="M43" s="82">
        <v>1.92</v>
      </c>
    </row>
    <row r="44" spans="1:13" ht="20.399999999999999" x14ac:dyDescent="0.25">
      <c r="A44" s="140" t="s">
        <v>1173</v>
      </c>
      <c r="B44" s="140" t="s">
        <v>1175</v>
      </c>
      <c r="C44" s="180" t="s">
        <v>21</v>
      </c>
      <c r="D44" s="35" t="s">
        <v>1168</v>
      </c>
      <c r="E44" s="192">
        <v>1</v>
      </c>
      <c r="F44" s="188" t="s">
        <v>1169</v>
      </c>
      <c r="G44" s="191">
        <v>1</v>
      </c>
      <c r="H44" s="187" t="s">
        <v>14</v>
      </c>
      <c r="I44" s="51">
        <v>510</v>
      </c>
      <c r="J44" s="51">
        <v>510</v>
      </c>
      <c r="K44" s="193">
        <v>2.57</v>
      </c>
      <c r="L44" s="193">
        <v>1.3</v>
      </c>
      <c r="M44" s="193">
        <v>1.3</v>
      </c>
    </row>
    <row r="45" spans="1:13" ht="20.399999999999999" x14ac:dyDescent="0.25">
      <c r="A45" s="140" t="s">
        <v>1173</v>
      </c>
      <c r="B45" s="140" t="s">
        <v>1175</v>
      </c>
      <c r="C45" s="180" t="s">
        <v>21</v>
      </c>
      <c r="D45" s="35" t="s">
        <v>1170</v>
      </c>
      <c r="E45" s="192">
        <v>1</v>
      </c>
      <c r="F45" s="46" t="s">
        <v>1171</v>
      </c>
      <c r="G45" s="184">
        <v>1</v>
      </c>
      <c r="H45" s="182" t="s">
        <v>14</v>
      </c>
      <c r="I45" s="51">
        <v>200</v>
      </c>
      <c r="J45" s="51">
        <v>200</v>
      </c>
      <c r="K45" s="82">
        <v>1.55</v>
      </c>
      <c r="L45" s="82">
        <v>1</v>
      </c>
      <c r="M45" s="82">
        <v>1</v>
      </c>
    </row>
    <row r="46" spans="1:13" ht="20.399999999999999" x14ac:dyDescent="0.25">
      <c r="A46" s="140" t="s">
        <v>1173</v>
      </c>
      <c r="B46" s="140" t="s">
        <v>1175</v>
      </c>
      <c r="C46" s="180" t="s">
        <v>21</v>
      </c>
      <c r="D46" s="35" t="s">
        <v>1172</v>
      </c>
      <c r="E46" s="35">
        <v>1</v>
      </c>
      <c r="F46" s="46" t="s">
        <v>137</v>
      </c>
      <c r="G46" s="184">
        <v>1</v>
      </c>
      <c r="H46" s="182" t="s">
        <v>14</v>
      </c>
      <c r="I46" s="51">
        <v>400</v>
      </c>
      <c r="J46" s="51">
        <v>400</v>
      </c>
      <c r="K46" s="193">
        <v>2.0499999999999998</v>
      </c>
      <c r="L46" s="193">
        <v>1.1499999999999999</v>
      </c>
      <c r="M46" s="193">
        <v>1.35</v>
      </c>
    </row>
    <row r="47" spans="1:13" ht="20.399999999999999" x14ac:dyDescent="0.25">
      <c r="A47" s="140" t="s">
        <v>1173</v>
      </c>
      <c r="B47" s="140" t="s">
        <v>1175</v>
      </c>
      <c r="C47" s="34" t="s">
        <v>1176</v>
      </c>
      <c r="D47" s="35" t="s">
        <v>1188</v>
      </c>
      <c r="E47" s="35">
        <v>1</v>
      </c>
      <c r="F47" s="46" t="s">
        <v>1189</v>
      </c>
      <c r="G47" s="184">
        <v>1</v>
      </c>
      <c r="H47" s="182" t="s">
        <v>14</v>
      </c>
      <c r="I47" s="48">
        <v>3200</v>
      </c>
      <c r="J47" s="51">
        <v>3335</v>
      </c>
      <c r="K47" s="82">
        <v>5.87</v>
      </c>
      <c r="L47" s="82">
        <v>1.95</v>
      </c>
      <c r="M47" s="82">
        <v>2</v>
      </c>
    </row>
    <row r="48" spans="1:13" ht="20.399999999999999" x14ac:dyDescent="0.25">
      <c r="A48" s="140" t="s">
        <v>1173</v>
      </c>
      <c r="B48" s="140" t="s">
        <v>1175</v>
      </c>
      <c r="C48" s="34" t="s">
        <v>1176</v>
      </c>
      <c r="D48" s="35" t="s">
        <v>1190</v>
      </c>
      <c r="E48" s="35">
        <v>1</v>
      </c>
      <c r="F48" s="46" t="s">
        <v>1191</v>
      </c>
      <c r="G48" s="184">
        <v>1</v>
      </c>
      <c r="H48" s="182" t="s">
        <v>14</v>
      </c>
      <c r="I48" s="48">
        <v>2950</v>
      </c>
      <c r="J48" s="51">
        <v>3085</v>
      </c>
      <c r="K48" s="82">
        <v>4.5</v>
      </c>
      <c r="L48" s="82">
        <v>2.1</v>
      </c>
      <c r="M48" s="82">
        <v>2.25</v>
      </c>
    </row>
    <row r="49" spans="1:13" ht="20.399999999999999" x14ac:dyDescent="0.25">
      <c r="A49" s="140" t="s">
        <v>1173</v>
      </c>
      <c r="B49" s="140" t="s">
        <v>1175</v>
      </c>
      <c r="C49" s="34" t="s">
        <v>21</v>
      </c>
      <c r="D49" s="35" t="s">
        <v>1190</v>
      </c>
      <c r="E49" s="35">
        <v>1</v>
      </c>
      <c r="F49" s="164" t="s">
        <v>1192</v>
      </c>
      <c r="G49" s="184">
        <v>1</v>
      </c>
      <c r="H49" s="182" t="s">
        <v>14</v>
      </c>
      <c r="I49" s="48">
        <v>120</v>
      </c>
      <c r="J49" s="51">
        <v>120</v>
      </c>
      <c r="K49" s="82">
        <v>0.81</v>
      </c>
      <c r="L49" s="82">
        <v>0.3</v>
      </c>
      <c r="M49" s="82">
        <v>0.3</v>
      </c>
    </row>
    <row r="50" spans="1:13" ht="20.399999999999999" x14ac:dyDescent="0.25">
      <c r="A50" s="140" t="s">
        <v>1173</v>
      </c>
      <c r="B50" s="140" t="s">
        <v>1175</v>
      </c>
      <c r="C50" s="34" t="s">
        <v>1176</v>
      </c>
      <c r="D50" s="35" t="s">
        <v>1193</v>
      </c>
      <c r="E50" s="35">
        <v>1</v>
      </c>
      <c r="F50" s="46" t="s">
        <v>1194</v>
      </c>
      <c r="G50" s="184">
        <v>1</v>
      </c>
      <c r="H50" s="182" t="s">
        <v>14</v>
      </c>
      <c r="I50" s="48">
        <v>2930</v>
      </c>
      <c r="J50" s="51">
        <v>3065</v>
      </c>
      <c r="K50" s="82">
        <v>4.6500000000000004</v>
      </c>
      <c r="L50" s="82">
        <v>2.13</v>
      </c>
      <c r="M50" s="82">
        <v>2.2000000000000002</v>
      </c>
    </row>
    <row r="51" spans="1:13" ht="20.399999999999999" x14ac:dyDescent="0.25">
      <c r="A51" s="140" t="s">
        <v>1173</v>
      </c>
      <c r="B51" s="140" t="s">
        <v>1175</v>
      </c>
      <c r="C51" s="34" t="s">
        <v>1176</v>
      </c>
      <c r="D51" s="35" t="s">
        <v>1195</v>
      </c>
      <c r="E51" s="35">
        <v>1</v>
      </c>
      <c r="F51" s="46" t="s">
        <v>1196</v>
      </c>
      <c r="G51" s="184">
        <v>1</v>
      </c>
      <c r="H51" s="182" t="s">
        <v>14</v>
      </c>
      <c r="I51" s="48">
        <v>2200</v>
      </c>
      <c r="J51" s="51">
        <v>2335</v>
      </c>
      <c r="K51" s="82">
        <v>4.3600000000000003</v>
      </c>
      <c r="L51" s="82">
        <v>2.2999999999999998</v>
      </c>
      <c r="M51" s="82">
        <v>2.4</v>
      </c>
    </row>
    <row r="52" spans="1:13" ht="26.4" x14ac:dyDescent="0.25">
      <c r="A52" s="140" t="s">
        <v>1173</v>
      </c>
      <c r="B52" s="140" t="s">
        <v>1260</v>
      </c>
      <c r="C52" s="34" t="s">
        <v>1176</v>
      </c>
      <c r="D52" s="35" t="s">
        <v>1248</v>
      </c>
      <c r="E52" s="35">
        <v>1</v>
      </c>
      <c r="F52" s="46" t="s">
        <v>1249</v>
      </c>
      <c r="G52" s="75">
        <v>2</v>
      </c>
      <c r="H52" s="76" t="s">
        <v>14</v>
      </c>
      <c r="I52" s="51">
        <v>4960</v>
      </c>
      <c r="J52" s="51">
        <v>5210</v>
      </c>
      <c r="K52" s="82">
        <v>12.31</v>
      </c>
      <c r="L52" s="82">
        <v>2.2999999999999998</v>
      </c>
      <c r="M52" s="82">
        <v>2.2999999999999998</v>
      </c>
    </row>
    <row r="53" spans="1:13" ht="20.399999999999999" x14ac:dyDescent="0.25">
      <c r="A53" s="140" t="s">
        <v>1173</v>
      </c>
      <c r="B53" s="140" t="s">
        <v>1260</v>
      </c>
      <c r="C53" s="34" t="s">
        <v>19</v>
      </c>
      <c r="D53" s="35" t="s">
        <v>1248</v>
      </c>
      <c r="E53" s="35">
        <v>1</v>
      </c>
      <c r="F53" s="46" t="s">
        <v>1250</v>
      </c>
      <c r="G53" s="75">
        <v>2</v>
      </c>
      <c r="H53" s="76" t="s">
        <v>14</v>
      </c>
      <c r="I53" s="51">
        <v>40</v>
      </c>
      <c r="J53" s="51">
        <v>40</v>
      </c>
      <c r="K53" s="82">
        <v>2.2999999999999998</v>
      </c>
      <c r="L53" s="82">
        <v>0.4</v>
      </c>
      <c r="M53" s="82">
        <v>0.4</v>
      </c>
    </row>
    <row r="54" spans="1:13" ht="20.399999999999999" x14ac:dyDescent="0.25">
      <c r="A54" s="140" t="s">
        <v>1173</v>
      </c>
      <c r="B54" s="140" t="s">
        <v>1260</v>
      </c>
      <c r="C54" s="34" t="s">
        <v>1176</v>
      </c>
      <c r="D54" s="35" t="s">
        <v>1251</v>
      </c>
      <c r="E54" s="35">
        <v>1</v>
      </c>
      <c r="F54" s="46" t="s">
        <v>1252</v>
      </c>
      <c r="G54" s="75">
        <v>2</v>
      </c>
      <c r="H54" s="73" t="s">
        <v>14</v>
      </c>
      <c r="I54" s="51">
        <v>3540</v>
      </c>
      <c r="J54" s="51">
        <v>3790</v>
      </c>
      <c r="K54" s="82">
        <v>10.32</v>
      </c>
      <c r="L54" s="82">
        <v>2.0499999999999998</v>
      </c>
      <c r="M54" s="82">
        <v>2.0499999999999998</v>
      </c>
    </row>
    <row r="55" spans="1:13" ht="20.399999999999999" x14ac:dyDescent="0.25">
      <c r="A55" s="140" t="s">
        <v>1173</v>
      </c>
      <c r="B55" s="140" t="s">
        <v>1260</v>
      </c>
      <c r="C55" s="34" t="s">
        <v>21</v>
      </c>
      <c r="D55" s="35" t="s">
        <v>1251</v>
      </c>
      <c r="E55" s="35">
        <v>1</v>
      </c>
      <c r="F55" s="46" t="s">
        <v>1253</v>
      </c>
      <c r="G55" s="75">
        <v>1</v>
      </c>
      <c r="H55" s="73" t="s">
        <v>14</v>
      </c>
      <c r="I55" s="51">
        <v>40</v>
      </c>
      <c r="J55" s="51">
        <v>40</v>
      </c>
      <c r="K55" s="82">
        <v>0.65</v>
      </c>
      <c r="L55" s="82">
        <v>0.1</v>
      </c>
      <c r="M55" s="82">
        <v>0.1</v>
      </c>
    </row>
    <row r="56" spans="1:13" ht="20.399999999999999" x14ac:dyDescent="0.25">
      <c r="A56" s="140" t="s">
        <v>1173</v>
      </c>
      <c r="B56" s="140" t="s">
        <v>1260</v>
      </c>
      <c r="C56" s="34" t="s">
        <v>21</v>
      </c>
      <c r="D56" s="35" t="s">
        <v>1254</v>
      </c>
      <c r="E56" s="35">
        <v>1</v>
      </c>
      <c r="F56" s="46" t="s">
        <v>1255</v>
      </c>
      <c r="G56" s="75">
        <v>1</v>
      </c>
      <c r="H56" s="73" t="s">
        <v>14</v>
      </c>
      <c r="I56" s="51">
        <v>620</v>
      </c>
      <c r="J56" s="51">
        <v>620</v>
      </c>
      <c r="K56" s="82">
        <v>1.65</v>
      </c>
      <c r="L56" s="82">
        <v>1.5</v>
      </c>
      <c r="M56" s="82">
        <v>1.95</v>
      </c>
    </row>
    <row r="57" spans="1:13" ht="26.4" x14ac:dyDescent="0.25">
      <c r="A57" s="140" t="s">
        <v>1173</v>
      </c>
      <c r="B57" s="140" t="s">
        <v>1260</v>
      </c>
      <c r="C57" s="34" t="s">
        <v>1176</v>
      </c>
      <c r="D57" s="35" t="s">
        <v>1256</v>
      </c>
      <c r="E57" s="35">
        <v>1</v>
      </c>
      <c r="F57" s="46" t="s">
        <v>1257</v>
      </c>
      <c r="G57" s="75">
        <v>1</v>
      </c>
      <c r="H57" s="73" t="s">
        <v>14</v>
      </c>
      <c r="I57" s="51">
        <v>1990</v>
      </c>
      <c r="J57" s="51">
        <v>2105</v>
      </c>
      <c r="K57" s="82">
        <v>6.37</v>
      </c>
      <c r="L57" s="82">
        <v>2</v>
      </c>
      <c r="M57" s="82">
        <v>2.23</v>
      </c>
    </row>
    <row r="58" spans="1:13" ht="20.399999999999999" x14ac:dyDescent="0.25">
      <c r="A58" s="140" t="s">
        <v>1173</v>
      </c>
      <c r="B58" s="140" t="s">
        <v>1260</v>
      </c>
      <c r="C58" s="34" t="s">
        <v>21</v>
      </c>
      <c r="D58" s="35" t="s">
        <v>1258</v>
      </c>
      <c r="E58" s="35">
        <v>1</v>
      </c>
      <c r="F58" s="46" t="s">
        <v>1259</v>
      </c>
      <c r="G58" s="75">
        <v>1</v>
      </c>
      <c r="H58" s="73" t="s">
        <v>14</v>
      </c>
      <c r="I58" s="51">
        <v>540</v>
      </c>
      <c r="J58" s="51">
        <v>540</v>
      </c>
      <c r="K58" s="82">
        <v>5.39</v>
      </c>
      <c r="L58" s="82">
        <v>0.97</v>
      </c>
      <c r="M58" s="82">
        <v>0.8</v>
      </c>
    </row>
    <row r="59" spans="1:13" ht="61.2" x14ac:dyDescent="0.25">
      <c r="A59" s="140" t="s">
        <v>87</v>
      </c>
      <c r="B59" s="140" t="s">
        <v>1019</v>
      </c>
      <c r="C59" s="34" t="s">
        <v>97</v>
      </c>
      <c r="D59" s="35"/>
      <c r="E59" s="35">
        <v>1</v>
      </c>
      <c r="F59" s="164" t="s">
        <v>1281</v>
      </c>
      <c r="G59" s="72">
        <v>3</v>
      </c>
      <c r="H59" s="73" t="s">
        <v>14</v>
      </c>
      <c r="I59" s="48">
        <v>500</v>
      </c>
      <c r="J59" s="48">
        <v>580</v>
      </c>
      <c r="K59" s="82">
        <v>5.84</v>
      </c>
      <c r="L59" s="82">
        <v>0.44</v>
      </c>
      <c r="M59" s="82">
        <v>0.32</v>
      </c>
    </row>
    <row r="60" spans="1:13" ht="40.799999999999997" x14ac:dyDescent="0.25">
      <c r="A60" s="140" t="s">
        <v>87</v>
      </c>
      <c r="B60" s="140" t="s">
        <v>1019</v>
      </c>
      <c r="C60" s="34" t="s">
        <v>97</v>
      </c>
      <c r="D60" s="35"/>
      <c r="E60" s="35">
        <v>1</v>
      </c>
      <c r="F60" s="164" t="s">
        <v>1282</v>
      </c>
      <c r="G60" s="72">
        <v>2</v>
      </c>
      <c r="H60" s="73" t="s">
        <v>14</v>
      </c>
      <c r="I60" s="48">
        <v>400</v>
      </c>
      <c r="J60" s="48">
        <v>500</v>
      </c>
      <c r="K60" s="82">
        <v>2.2999999999999998</v>
      </c>
      <c r="L60" s="82">
        <v>0.98</v>
      </c>
      <c r="M60" s="82">
        <v>0.77</v>
      </c>
    </row>
    <row r="61" spans="1:13" ht="40.799999999999997" x14ac:dyDescent="0.25">
      <c r="A61" s="140" t="s">
        <v>87</v>
      </c>
      <c r="B61" s="140" t="s">
        <v>1019</v>
      </c>
      <c r="C61" s="34" t="s">
        <v>97</v>
      </c>
      <c r="D61" s="35"/>
      <c r="E61" s="35">
        <v>1</v>
      </c>
      <c r="F61" s="164" t="s">
        <v>1283</v>
      </c>
      <c r="G61" s="72">
        <v>10</v>
      </c>
      <c r="H61" s="73" t="s">
        <v>14</v>
      </c>
      <c r="I61" s="48">
        <v>780</v>
      </c>
      <c r="J61" s="48">
        <v>880</v>
      </c>
      <c r="K61" s="82">
        <v>2.2999999999999998</v>
      </c>
      <c r="L61" s="82">
        <v>0.98</v>
      </c>
      <c r="M61" s="82">
        <v>0.77</v>
      </c>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70D1-95EC-460E-8F41-59BAA8C1D580}">
  <dimension ref="A1:P45"/>
  <sheetViews>
    <sheetView zoomScaleNormal="100" workbookViewId="0">
      <selection activeCell="N1" sqref="N1"/>
    </sheetView>
  </sheetViews>
  <sheetFormatPr defaultRowHeight="13.2" x14ac:dyDescent="0.25"/>
  <cols>
    <col min="2" max="2" width="12.44140625" bestFit="1" customWidth="1"/>
    <col min="3" max="3" width="12" bestFit="1" customWidth="1"/>
    <col min="4" max="4" width="12.33203125" customWidth="1"/>
    <col min="5" max="5" width="5.109375" customWidth="1"/>
    <col min="6" max="6" width="52.44140625" customWidth="1"/>
    <col min="7" max="8" width="6.109375" customWidth="1"/>
    <col min="9" max="9" width="16.44140625" style="16" customWidth="1"/>
    <col min="10" max="10" width="15.5546875" style="16" customWidth="1"/>
    <col min="11" max="12" width="6.5546875" style="16" customWidth="1"/>
    <col min="13" max="13" width="6.5546875" customWidth="1"/>
    <col min="14" max="14" width="24.33203125" bestFit="1" customWidth="1"/>
  </cols>
  <sheetData>
    <row r="1" spans="1:16" ht="30.75" customHeight="1" thickBot="1" x14ac:dyDescent="0.3">
      <c r="A1" s="2" t="s">
        <v>77</v>
      </c>
      <c r="B1" s="3" t="s">
        <v>80</v>
      </c>
      <c r="C1" s="3" t="s">
        <v>89</v>
      </c>
      <c r="D1" s="3" t="s">
        <v>13</v>
      </c>
      <c r="E1" s="11" t="s">
        <v>14</v>
      </c>
      <c r="F1" s="4" t="s">
        <v>15</v>
      </c>
      <c r="G1" s="266" t="s">
        <v>227</v>
      </c>
      <c r="H1" s="267"/>
      <c r="I1" s="17" t="s">
        <v>16</v>
      </c>
      <c r="J1" s="17" t="s">
        <v>17</v>
      </c>
      <c r="K1" s="4" t="s">
        <v>1737</v>
      </c>
      <c r="L1" s="265" t="s">
        <v>1741</v>
      </c>
      <c r="M1" s="81" t="s">
        <v>1739</v>
      </c>
      <c r="N1" s="39" t="s">
        <v>124</v>
      </c>
      <c r="O1" s="7"/>
      <c r="P1" s="7"/>
    </row>
    <row r="2" spans="1:16" s="8" customFormat="1" ht="20.399999999999999" x14ac:dyDescent="0.25">
      <c r="A2" s="140"/>
      <c r="B2" s="140" t="s">
        <v>562</v>
      </c>
      <c r="C2" s="34" t="s">
        <v>21</v>
      </c>
      <c r="D2" s="35" t="s">
        <v>563</v>
      </c>
      <c r="E2" s="35">
        <v>1</v>
      </c>
      <c r="F2" s="46" t="s">
        <v>128</v>
      </c>
      <c r="G2" s="72">
        <v>1</v>
      </c>
      <c r="H2" s="76" t="s">
        <v>14</v>
      </c>
      <c r="I2" s="48">
        <v>270</v>
      </c>
      <c r="J2" s="48">
        <v>270</v>
      </c>
      <c r="K2" s="82"/>
      <c r="L2" s="82"/>
      <c r="M2" s="82"/>
      <c r="N2" s="38" t="s">
        <v>85</v>
      </c>
    </row>
    <row r="3" spans="1:16" s="8" customFormat="1" ht="20.399999999999999" x14ac:dyDescent="0.25">
      <c r="A3" s="140"/>
      <c r="B3" s="140" t="s">
        <v>123</v>
      </c>
      <c r="C3" s="34" t="s">
        <v>21</v>
      </c>
      <c r="D3" s="35" t="s">
        <v>127</v>
      </c>
      <c r="E3" s="35">
        <v>1</v>
      </c>
      <c r="F3" s="46" t="s">
        <v>128</v>
      </c>
      <c r="G3" s="72">
        <v>1</v>
      </c>
      <c r="H3" s="76" t="s">
        <v>14</v>
      </c>
      <c r="I3" s="48">
        <v>300</v>
      </c>
      <c r="J3" s="48">
        <v>300</v>
      </c>
      <c r="K3" s="82">
        <v>2.0499999999999998</v>
      </c>
      <c r="L3" s="82">
        <v>1.05</v>
      </c>
      <c r="M3" s="82">
        <v>1.05</v>
      </c>
      <c r="N3" s="38" t="s">
        <v>125</v>
      </c>
    </row>
    <row r="4" spans="1:16" s="8" customFormat="1" ht="20.399999999999999" x14ac:dyDescent="0.25">
      <c r="A4" s="140"/>
      <c r="B4" s="140" t="s">
        <v>123</v>
      </c>
      <c r="C4" s="34" t="s">
        <v>21</v>
      </c>
      <c r="D4" s="35" t="s">
        <v>150</v>
      </c>
      <c r="E4" s="35">
        <v>1</v>
      </c>
      <c r="F4" s="46" t="s">
        <v>151</v>
      </c>
      <c r="G4" s="72">
        <v>1</v>
      </c>
      <c r="H4" s="76" t="s">
        <v>14</v>
      </c>
      <c r="I4" s="48">
        <v>215</v>
      </c>
      <c r="J4" s="48">
        <v>215</v>
      </c>
      <c r="K4" s="82">
        <v>2.38</v>
      </c>
      <c r="L4" s="82">
        <v>1.3</v>
      </c>
      <c r="M4" s="82">
        <v>1.3</v>
      </c>
      <c r="N4" s="38" t="s">
        <v>2</v>
      </c>
    </row>
    <row r="5" spans="1:16" s="8" customFormat="1" ht="20.399999999999999" x14ac:dyDescent="0.25">
      <c r="A5" s="140"/>
      <c r="B5" s="140" t="s">
        <v>123</v>
      </c>
      <c r="C5" s="34" t="s">
        <v>21</v>
      </c>
      <c r="D5" s="35" t="s">
        <v>130</v>
      </c>
      <c r="E5" s="35">
        <v>1</v>
      </c>
      <c r="F5" s="46" t="s">
        <v>131</v>
      </c>
      <c r="G5" s="72">
        <v>1</v>
      </c>
      <c r="H5" s="76" t="s">
        <v>14</v>
      </c>
      <c r="I5" s="48">
        <v>350</v>
      </c>
      <c r="J5" s="48">
        <v>350</v>
      </c>
      <c r="K5" s="82">
        <v>2.08</v>
      </c>
      <c r="L5" s="82">
        <v>1.08</v>
      </c>
      <c r="M5" s="82">
        <v>1.4</v>
      </c>
      <c r="N5" s="38" t="s">
        <v>125</v>
      </c>
    </row>
    <row r="6" spans="1:16" s="8" customFormat="1" ht="26.4" x14ac:dyDescent="0.25">
      <c r="A6" s="140"/>
      <c r="B6" s="140" t="s">
        <v>123</v>
      </c>
      <c r="C6" s="34" t="s">
        <v>21</v>
      </c>
      <c r="D6" s="35" t="s">
        <v>132</v>
      </c>
      <c r="E6" s="35">
        <v>1</v>
      </c>
      <c r="F6" s="46" t="s">
        <v>133</v>
      </c>
      <c r="G6" s="72">
        <v>1</v>
      </c>
      <c r="H6" s="76" t="s">
        <v>14</v>
      </c>
      <c r="I6" s="48">
        <v>1250</v>
      </c>
      <c r="J6" s="48">
        <v>1250</v>
      </c>
      <c r="K6" s="82">
        <v>4.9800000000000004</v>
      </c>
      <c r="L6" s="82">
        <v>1.8</v>
      </c>
      <c r="M6" s="82">
        <v>1.8</v>
      </c>
      <c r="N6" s="38" t="s">
        <v>125</v>
      </c>
    </row>
    <row r="7" spans="1:16" s="8" customFormat="1" ht="26.4" x14ac:dyDescent="0.25">
      <c r="A7" s="140"/>
      <c r="B7" s="140" t="s">
        <v>123</v>
      </c>
      <c r="C7" s="34" t="s">
        <v>21</v>
      </c>
      <c r="D7" s="35" t="s">
        <v>134</v>
      </c>
      <c r="E7" s="35">
        <v>1</v>
      </c>
      <c r="F7" s="46" t="s">
        <v>135</v>
      </c>
      <c r="G7" s="72">
        <v>1</v>
      </c>
      <c r="H7" s="76" t="s">
        <v>14</v>
      </c>
      <c r="I7" s="48">
        <v>1375</v>
      </c>
      <c r="J7" s="48">
        <v>1375</v>
      </c>
      <c r="K7" s="82">
        <v>5.3</v>
      </c>
      <c r="L7" s="82">
        <v>1.8</v>
      </c>
      <c r="M7" s="82">
        <v>1.8</v>
      </c>
      <c r="N7" s="38" t="s">
        <v>125</v>
      </c>
    </row>
    <row r="8" spans="1:16" s="8" customFormat="1" ht="20.399999999999999" x14ac:dyDescent="0.25">
      <c r="A8" s="140"/>
      <c r="B8" s="140" t="s">
        <v>123</v>
      </c>
      <c r="C8" s="34" t="s">
        <v>21</v>
      </c>
      <c r="D8" s="35" t="s">
        <v>136</v>
      </c>
      <c r="E8" s="35">
        <v>1</v>
      </c>
      <c r="F8" s="46" t="s">
        <v>137</v>
      </c>
      <c r="G8" s="72">
        <v>1</v>
      </c>
      <c r="H8" s="76" t="s">
        <v>14</v>
      </c>
      <c r="I8" s="48">
        <v>500</v>
      </c>
      <c r="J8" s="48">
        <v>500</v>
      </c>
      <c r="K8" s="82">
        <v>2.31</v>
      </c>
      <c r="L8" s="82">
        <v>1.51</v>
      </c>
      <c r="M8" s="82">
        <v>1</v>
      </c>
      <c r="N8" s="38" t="s">
        <v>125</v>
      </c>
    </row>
    <row r="9" spans="1:16" s="8" customFormat="1" ht="20.399999999999999" x14ac:dyDescent="0.25">
      <c r="A9" s="140"/>
      <c r="B9" s="140" t="s">
        <v>161</v>
      </c>
      <c r="C9" s="34" t="s">
        <v>21</v>
      </c>
      <c r="D9" s="35" t="s">
        <v>164</v>
      </c>
      <c r="E9" s="35">
        <v>1</v>
      </c>
      <c r="F9" s="46" t="s">
        <v>165</v>
      </c>
      <c r="G9" s="72">
        <v>1</v>
      </c>
      <c r="H9" s="76" t="s">
        <v>14</v>
      </c>
      <c r="I9" s="51">
        <v>600</v>
      </c>
      <c r="J9" s="51">
        <v>600</v>
      </c>
      <c r="K9" s="82">
        <v>1.8</v>
      </c>
      <c r="L9" s="82">
        <v>1.2</v>
      </c>
      <c r="M9" s="82">
        <v>1.9</v>
      </c>
      <c r="N9" s="38" t="s">
        <v>125</v>
      </c>
    </row>
    <row r="10" spans="1:16" s="8" customFormat="1" ht="20.399999999999999" x14ac:dyDescent="0.25">
      <c r="A10" s="140"/>
      <c r="B10" s="140" t="s">
        <v>197</v>
      </c>
      <c r="C10" s="34" t="s">
        <v>21</v>
      </c>
      <c r="D10" s="35" t="s">
        <v>189</v>
      </c>
      <c r="E10" s="33">
        <v>1</v>
      </c>
      <c r="F10" s="46" t="s">
        <v>190</v>
      </c>
      <c r="G10" s="72">
        <v>1</v>
      </c>
      <c r="H10" s="76" t="s">
        <v>14</v>
      </c>
      <c r="I10" s="51">
        <v>2020</v>
      </c>
      <c r="J10" s="51">
        <v>2020</v>
      </c>
      <c r="K10" s="82">
        <v>5.7</v>
      </c>
      <c r="L10" s="82">
        <v>2.23</v>
      </c>
      <c r="M10" s="82">
        <v>2.58</v>
      </c>
      <c r="N10" s="38" t="s">
        <v>196</v>
      </c>
    </row>
    <row r="11" spans="1:16" s="8" customFormat="1" ht="20.399999999999999" x14ac:dyDescent="0.25">
      <c r="A11" s="140"/>
      <c r="B11" s="140" t="s">
        <v>197</v>
      </c>
      <c r="C11" s="34" t="s">
        <v>21</v>
      </c>
      <c r="D11" s="68" t="s">
        <v>191</v>
      </c>
      <c r="E11" s="33">
        <v>1</v>
      </c>
      <c r="F11" s="46" t="s">
        <v>192</v>
      </c>
      <c r="G11" s="72">
        <v>1</v>
      </c>
      <c r="H11" s="76" t="s">
        <v>14</v>
      </c>
      <c r="I11" s="51">
        <v>850</v>
      </c>
      <c r="J11" s="51">
        <v>850</v>
      </c>
      <c r="K11" s="82">
        <v>2.96</v>
      </c>
      <c r="L11" s="82">
        <v>1.7</v>
      </c>
      <c r="M11" s="82">
        <v>1.8</v>
      </c>
      <c r="N11" s="38" t="s">
        <v>196</v>
      </c>
    </row>
    <row r="12" spans="1:16" s="8" customFormat="1" ht="20.399999999999999" x14ac:dyDescent="0.25">
      <c r="A12" s="140"/>
      <c r="B12" s="140" t="s">
        <v>197</v>
      </c>
      <c r="C12" s="34" t="s">
        <v>21</v>
      </c>
      <c r="D12" s="35" t="s">
        <v>193</v>
      </c>
      <c r="E12" s="33">
        <v>1</v>
      </c>
      <c r="F12" s="46" t="s">
        <v>194</v>
      </c>
      <c r="G12" s="72">
        <v>1</v>
      </c>
      <c r="H12" s="76" t="s">
        <v>14</v>
      </c>
      <c r="I12" s="51">
        <v>280</v>
      </c>
      <c r="J12" s="51">
        <v>280</v>
      </c>
      <c r="K12" s="82">
        <v>2.27</v>
      </c>
      <c r="L12" s="82">
        <v>1.1499999999999999</v>
      </c>
      <c r="M12" s="82">
        <v>1.1499999999999999</v>
      </c>
      <c r="N12" s="38" t="s">
        <v>196</v>
      </c>
    </row>
    <row r="13" spans="1:16" s="8" customFormat="1" ht="20.399999999999999" x14ac:dyDescent="0.25">
      <c r="A13" s="140"/>
      <c r="B13" s="140" t="s">
        <v>197</v>
      </c>
      <c r="C13" s="34" t="s">
        <v>21</v>
      </c>
      <c r="D13" s="35" t="s">
        <v>195</v>
      </c>
      <c r="E13" s="33">
        <v>1</v>
      </c>
      <c r="F13" s="46" t="s">
        <v>194</v>
      </c>
      <c r="G13" s="72">
        <v>1</v>
      </c>
      <c r="H13" s="76" t="s">
        <v>14</v>
      </c>
      <c r="I13" s="51">
        <v>400</v>
      </c>
      <c r="J13" s="51">
        <v>400</v>
      </c>
      <c r="K13" s="82">
        <v>2.4700000000000002</v>
      </c>
      <c r="L13" s="82">
        <v>1.1499999999999999</v>
      </c>
      <c r="M13" s="82">
        <v>1.1499999999999999</v>
      </c>
      <c r="N13" s="38" t="s">
        <v>196</v>
      </c>
    </row>
    <row r="14" spans="1:16" s="8" customFormat="1" ht="26.4" x14ac:dyDescent="0.25">
      <c r="A14" s="140" t="s">
        <v>399</v>
      </c>
      <c r="B14" s="140" t="s">
        <v>197</v>
      </c>
      <c r="C14" s="34" t="s">
        <v>21</v>
      </c>
      <c r="D14" s="35" t="s">
        <v>397</v>
      </c>
      <c r="E14" s="35">
        <v>1</v>
      </c>
      <c r="F14" s="46" t="s">
        <v>398</v>
      </c>
      <c r="G14" s="72">
        <v>1</v>
      </c>
      <c r="H14" s="73" t="s">
        <v>14</v>
      </c>
      <c r="I14" s="47">
        <v>6950</v>
      </c>
      <c r="J14" s="47">
        <v>6950</v>
      </c>
      <c r="K14" s="82">
        <v>11.99</v>
      </c>
      <c r="L14" s="82">
        <v>2.2000000000000002</v>
      </c>
      <c r="M14" s="82">
        <v>2.27</v>
      </c>
      <c r="N14" s="38" t="s">
        <v>2</v>
      </c>
    </row>
    <row r="15" spans="1:16" s="8" customFormat="1" ht="20.399999999999999" x14ac:dyDescent="0.25">
      <c r="A15" s="140" t="s">
        <v>590</v>
      </c>
      <c r="B15" s="140" t="s">
        <v>591</v>
      </c>
      <c r="C15" s="34" t="s">
        <v>21</v>
      </c>
      <c r="D15" s="35" t="s">
        <v>589</v>
      </c>
      <c r="E15" s="35">
        <v>1</v>
      </c>
      <c r="F15" s="46" t="s">
        <v>592</v>
      </c>
      <c r="G15" s="72">
        <v>1</v>
      </c>
      <c r="H15" s="73" t="s">
        <v>14</v>
      </c>
      <c r="I15" s="47">
        <v>230</v>
      </c>
      <c r="J15" s="47">
        <v>230</v>
      </c>
      <c r="K15" s="82">
        <v>1.3</v>
      </c>
      <c r="L15" s="82">
        <v>1</v>
      </c>
      <c r="M15" s="82">
        <v>1.66</v>
      </c>
      <c r="N15" s="38" t="s">
        <v>85</v>
      </c>
    </row>
    <row r="16" spans="1:16" s="9" customFormat="1" ht="20.399999999999999" x14ac:dyDescent="0.25">
      <c r="A16" s="140" t="s">
        <v>752</v>
      </c>
      <c r="B16" s="140" t="s">
        <v>753</v>
      </c>
      <c r="C16" s="34" t="s">
        <v>21</v>
      </c>
      <c r="D16" s="35"/>
      <c r="E16" s="35">
        <v>1</v>
      </c>
      <c r="F16" s="46" t="s">
        <v>754</v>
      </c>
      <c r="G16" s="72">
        <v>1</v>
      </c>
      <c r="H16" s="73" t="s">
        <v>755</v>
      </c>
      <c r="I16" s="48">
        <v>4520</v>
      </c>
      <c r="J16" s="48">
        <v>4520</v>
      </c>
      <c r="K16" s="82">
        <v>5.05</v>
      </c>
      <c r="L16" s="82">
        <v>2.2999999999999998</v>
      </c>
      <c r="M16" s="82">
        <v>2.2000000000000002</v>
      </c>
      <c r="N16" s="38" t="s">
        <v>85</v>
      </c>
    </row>
    <row r="17" spans="1:14" s="9" customFormat="1" ht="20.399999999999999" x14ac:dyDescent="0.25">
      <c r="A17" s="140" t="s">
        <v>590</v>
      </c>
      <c r="B17" s="204" t="s">
        <v>927</v>
      </c>
      <c r="C17" s="34" t="s">
        <v>21</v>
      </c>
      <c r="D17" s="141" t="s">
        <v>917</v>
      </c>
      <c r="E17" s="35">
        <v>1</v>
      </c>
      <c r="F17" s="46" t="s">
        <v>918</v>
      </c>
      <c r="G17" s="72">
        <v>1</v>
      </c>
      <c r="H17" s="76" t="s">
        <v>14</v>
      </c>
      <c r="I17" s="51">
        <v>545</v>
      </c>
      <c r="J17" s="51">
        <v>545</v>
      </c>
      <c r="K17" s="82">
        <v>4.7699999999999996</v>
      </c>
      <c r="L17" s="82">
        <v>0.56999999999999995</v>
      </c>
      <c r="M17" s="82">
        <v>0.86</v>
      </c>
      <c r="N17" s="38" t="s">
        <v>85</v>
      </c>
    </row>
    <row r="18" spans="1:14" ht="20.399999999999999" x14ac:dyDescent="0.25">
      <c r="A18" s="140" t="s">
        <v>590</v>
      </c>
      <c r="B18" s="204" t="s">
        <v>927</v>
      </c>
      <c r="C18" s="34" t="s">
        <v>21</v>
      </c>
      <c r="D18" s="141" t="s">
        <v>919</v>
      </c>
      <c r="E18" s="35">
        <v>1</v>
      </c>
      <c r="F18" s="46" t="s">
        <v>920</v>
      </c>
      <c r="G18" s="72">
        <v>1</v>
      </c>
      <c r="H18" s="76" t="s">
        <v>14</v>
      </c>
      <c r="I18" s="51">
        <v>2560</v>
      </c>
      <c r="J18" s="51">
        <v>2560</v>
      </c>
      <c r="K18" s="82">
        <v>5.01</v>
      </c>
      <c r="L18" s="82">
        <v>0.97</v>
      </c>
      <c r="M18" s="82">
        <v>1.32</v>
      </c>
      <c r="N18" s="38" t="s">
        <v>85</v>
      </c>
    </row>
    <row r="19" spans="1:14" ht="20.399999999999999" x14ac:dyDescent="0.25">
      <c r="A19" s="140" t="s">
        <v>590</v>
      </c>
      <c r="B19" s="204" t="s">
        <v>927</v>
      </c>
      <c r="C19" s="34" t="s">
        <v>21</v>
      </c>
      <c r="D19" s="141" t="s">
        <v>921</v>
      </c>
      <c r="E19" s="35">
        <v>1</v>
      </c>
      <c r="F19" s="46" t="s">
        <v>922</v>
      </c>
      <c r="G19" s="72">
        <v>1</v>
      </c>
      <c r="H19" s="131" t="s">
        <v>14</v>
      </c>
      <c r="I19" s="51">
        <v>1240</v>
      </c>
      <c r="J19" s="51">
        <v>1240</v>
      </c>
      <c r="K19" s="82">
        <v>3.7</v>
      </c>
      <c r="L19" s="82">
        <v>0.91</v>
      </c>
      <c r="M19" s="82">
        <v>1.34</v>
      </c>
      <c r="N19" s="38" t="s">
        <v>85</v>
      </c>
    </row>
    <row r="20" spans="1:14" ht="20.399999999999999" x14ac:dyDescent="0.25">
      <c r="A20" s="140" t="s">
        <v>590</v>
      </c>
      <c r="B20" s="204" t="s">
        <v>927</v>
      </c>
      <c r="C20" s="34" t="s">
        <v>21</v>
      </c>
      <c r="D20" s="141" t="s">
        <v>923</v>
      </c>
      <c r="E20" s="35">
        <v>1</v>
      </c>
      <c r="F20" s="46" t="s">
        <v>924</v>
      </c>
      <c r="G20" s="72">
        <v>1</v>
      </c>
      <c r="H20" s="131" t="s">
        <v>14</v>
      </c>
      <c r="I20" s="51">
        <v>175</v>
      </c>
      <c r="J20" s="51">
        <v>175</v>
      </c>
      <c r="K20" s="82">
        <v>3.5</v>
      </c>
      <c r="L20" s="82">
        <v>0.75</v>
      </c>
      <c r="M20" s="82">
        <v>0.75</v>
      </c>
      <c r="N20" s="38" t="s">
        <v>85</v>
      </c>
    </row>
    <row r="21" spans="1:14" ht="26.4" x14ac:dyDescent="0.25">
      <c r="A21" s="140" t="s">
        <v>590</v>
      </c>
      <c r="B21" s="204" t="s">
        <v>927</v>
      </c>
      <c r="C21" s="34" t="s">
        <v>18</v>
      </c>
      <c r="D21" s="141" t="s">
        <v>925</v>
      </c>
      <c r="E21" s="35">
        <v>1</v>
      </c>
      <c r="F21" s="46" t="s">
        <v>926</v>
      </c>
      <c r="G21" s="72">
        <v>2</v>
      </c>
      <c r="H21" s="129" t="s">
        <v>14</v>
      </c>
      <c r="I21" s="48">
        <v>20</v>
      </c>
      <c r="J21" s="48">
        <v>30</v>
      </c>
      <c r="K21" s="82">
        <v>0.82</v>
      </c>
      <c r="L21" s="82">
        <v>0.82</v>
      </c>
      <c r="M21" s="82">
        <v>0.3</v>
      </c>
      <c r="N21" s="38" t="s">
        <v>85</v>
      </c>
    </row>
    <row r="22" spans="1:14" ht="20.399999999999999" x14ac:dyDescent="0.25">
      <c r="A22" s="140" t="s">
        <v>590</v>
      </c>
      <c r="B22" s="175" t="s">
        <v>945</v>
      </c>
      <c r="C22" s="35" t="s">
        <v>97</v>
      </c>
      <c r="D22" s="35"/>
      <c r="E22" s="35">
        <v>1</v>
      </c>
      <c r="F22" s="46" t="s">
        <v>937</v>
      </c>
      <c r="G22" s="128">
        <v>1</v>
      </c>
      <c r="H22" s="129" t="s">
        <v>938</v>
      </c>
      <c r="I22" s="47">
        <v>3370</v>
      </c>
      <c r="J22" s="47">
        <v>3370</v>
      </c>
      <c r="K22" s="82">
        <v>4.6500000000000004</v>
      </c>
      <c r="L22" s="82">
        <v>3.25</v>
      </c>
      <c r="M22" s="82">
        <v>3.15</v>
      </c>
      <c r="N22" s="38" t="s">
        <v>85</v>
      </c>
    </row>
    <row r="23" spans="1:14" ht="20.399999999999999" x14ac:dyDescent="0.25">
      <c r="A23" s="140" t="s">
        <v>590</v>
      </c>
      <c r="B23" s="175" t="s">
        <v>945</v>
      </c>
      <c r="C23" s="35" t="s">
        <v>97</v>
      </c>
      <c r="D23" s="35"/>
      <c r="E23" s="35">
        <v>1</v>
      </c>
      <c r="F23" s="46" t="s">
        <v>939</v>
      </c>
      <c r="G23" s="128">
        <v>1</v>
      </c>
      <c r="H23" s="129" t="s">
        <v>938</v>
      </c>
      <c r="I23" s="47">
        <v>8800</v>
      </c>
      <c r="J23" s="47">
        <v>8800</v>
      </c>
      <c r="K23" s="82">
        <v>7.3</v>
      </c>
      <c r="L23" s="82">
        <v>2.76</v>
      </c>
      <c r="M23" s="82">
        <v>2.1800000000000002</v>
      </c>
      <c r="N23" s="38" t="s">
        <v>85</v>
      </c>
    </row>
    <row r="24" spans="1:14" ht="20.399999999999999" x14ac:dyDescent="0.25">
      <c r="A24" s="140" t="s">
        <v>590</v>
      </c>
      <c r="B24" s="175" t="s">
        <v>945</v>
      </c>
      <c r="C24" s="35" t="s">
        <v>97</v>
      </c>
      <c r="D24" s="35"/>
      <c r="E24" s="35">
        <v>1</v>
      </c>
      <c r="F24" s="46" t="s">
        <v>940</v>
      </c>
      <c r="G24" s="128">
        <v>1</v>
      </c>
      <c r="H24" s="129" t="s">
        <v>938</v>
      </c>
      <c r="I24" s="47">
        <v>455</v>
      </c>
      <c r="J24" s="47">
        <v>455</v>
      </c>
      <c r="K24" s="82">
        <v>1.35</v>
      </c>
      <c r="L24" s="82">
        <v>1.6</v>
      </c>
      <c r="M24" s="82">
        <v>1.86</v>
      </c>
      <c r="N24" s="38" t="s">
        <v>85</v>
      </c>
    </row>
    <row r="25" spans="1:14" ht="20.399999999999999" x14ac:dyDescent="0.25">
      <c r="A25" s="140" t="s">
        <v>590</v>
      </c>
      <c r="B25" s="175" t="s">
        <v>945</v>
      </c>
      <c r="C25" s="35" t="s">
        <v>97</v>
      </c>
      <c r="D25" s="35"/>
      <c r="E25" s="35">
        <v>1</v>
      </c>
      <c r="F25" s="46" t="s">
        <v>941</v>
      </c>
      <c r="G25" s="128">
        <v>1</v>
      </c>
      <c r="H25" s="129" t="s">
        <v>938</v>
      </c>
      <c r="I25" s="47">
        <v>130</v>
      </c>
      <c r="J25" s="47">
        <v>130</v>
      </c>
      <c r="K25" s="82">
        <v>0.7</v>
      </c>
      <c r="L25" s="82">
        <v>0.51</v>
      </c>
      <c r="M25" s="82">
        <v>0.63</v>
      </c>
      <c r="N25" s="38" t="s">
        <v>85</v>
      </c>
    </row>
    <row r="26" spans="1:14" ht="61.2" x14ac:dyDescent="0.25">
      <c r="A26" s="140" t="s">
        <v>590</v>
      </c>
      <c r="B26" s="175" t="s">
        <v>945</v>
      </c>
      <c r="C26" s="35" t="s">
        <v>942</v>
      </c>
      <c r="D26" s="35"/>
      <c r="E26" s="35">
        <v>1</v>
      </c>
      <c r="F26" s="164" t="s">
        <v>943</v>
      </c>
      <c r="G26" s="128">
        <v>364</v>
      </c>
      <c r="H26" s="129" t="s">
        <v>944</v>
      </c>
      <c r="I26" s="47">
        <v>50</v>
      </c>
      <c r="J26" s="47">
        <v>60</v>
      </c>
      <c r="K26" s="82">
        <v>0.48</v>
      </c>
      <c r="L26" s="82">
        <v>0.48</v>
      </c>
      <c r="M26" s="82">
        <v>0.28000000000000003</v>
      </c>
      <c r="N26" s="38" t="s">
        <v>85</v>
      </c>
    </row>
    <row r="27" spans="1:14" ht="20.399999999999999" x14ac:dyDescent="0.25">
      <c r="A27" s="140" t="s">
        <v>590</v>
      </c>
      <c r="B27" s="175" t="s">
        <v>1234</v>
      </c>
      <c r="C27" s="35" t="s">
        <v>97</v>
      </c>
      <c r="D27" s="35" t="s">
        <v>1231</v>
      </c>
      <c r="E27" s="35">
        <v>1</v>
      </c>
      <c r="F27" s="46" t="s">
        <v>1232</v>
      </c>
      <c r="G27" s="128">
        <v>1</v>
      </c>
      <c r="H27" s="129" t="s">
        <v>938</v>
      </c>
      <c r="I27" s="47">
        <v>1590</v>
      </c>
      <c r="J27" s="47">
        <v>1590</v>
      </c>
      <c r="K27" s="82">
        <v>3.7</v>
      </c>
      <c r="L27" s="82">
        <v>2.2000000000000002</v>
      </c>
      <c r="M27" s="82">
        <v>2.2999999999999998</v>
      </c>
    </row>
    <row r="28" spans="1:14" ht="20.399999999999999" x14ac:dyDescent="0.25">
      <c r="A28" s="140" t="s">
        <v>590</v>
      </c>
      <c r="B28" s="175" t="s">
        <v>1234</v>
      </c>
      <c r="C28" s="35" t="s">
        <v>97</v>
      </c>
      <c r="D28" s="35" t="s">
        <v>634</v>
      </c>
      <c r="E28" s="35">
        <v>1</v>
      </c>
      <c r="F28" s="46" t="s">
        <v>1233</v>
      </c>
      <c r="G28" s="128">
        <v>1</v>
      </c>
      <c r="H28" s="129" t="s">
        <v>938</v>
      </c>
      <c r="I28" s="47">
        <v>880</v>
      </c>
      <c r="J28" s="47">
        <v>880</v>
      </c>
      <c r="K28" s="82">
        <v>6.5</v>
      </c>
      <c r="L28" s="82">
        <v>0.6</v>
      </c>
      <c r="M28" s="82">
        <v>0.9</v>
      </c>
    </row>
    <row r="29" spans="1:14" ht="20.399999999999999" x14ac:dyDescent="0.25">
      <c r="A29" s="140" t="s">
        <v>590</v>
      </c>
      <c r="B29" s="175" t="s">
        <v>1262</v>
      </c>
      <c r="C29" s="35" t="s">
        <v>1261</v>
      </c>
      <c r="D29" s="35"/>
      <c r="E29" s="35">
        <v>1</v>
      </c>
      <c r="F29" s="46" t="s">
        <v>1263</v>
      </c>
      <c r="G29" s="128">
        <v>1</v>
      </c>
      <c r="H29" s="129" t="s">
        <v>938</v>
      </c>
      <c r="I29" s="47">
        <v>2635</v>
      </c>
      <c r="J29" s="47">
        <v>2760</v>
      </c>
      <c r="K29" s="82">
        <v>8.65</v>
      </c>
      <c r="L29" s="82">
        <v>1.5</v>
      </c>
      <c r="M29" s="82">
        <v>1.5</v>
      </c>
    </row>
    <row r="30" spans="1:14" ht="20.399999999999999" x14ac:dyDescent="0.25">
      <c r="A30" s="140"/>
      <c r="B30" s="140" t="s">
        <v>1584</v>
      </c>
      <c r="C30" s="34" t="s">
        <v>21</v>
      </c>
      <c r="D30" s="35" t="s">
        <v>1156</v>
      </c>
      <c r="E30" s="35">
        <v>1</v>
      </c>
      <c r="F30" s="46" t="s">
        <v>1585</v>
      </c>
      <c r="G30" s="75">
        <v>1</v>
      </c>
      <c r="H30" s="76" t="s">
        <v>14</v>
      </c>
      <c r="I30" s="51">
        <v>315</v>
      </c>
      <c r="J30" s="51">
        <v>315</v>
      </c>
      <c r="K30" s="82">
        <v>2.35</v>
      </c>
      <c r="L30" s="82">
        <v>1.05</v>
      </c>
      <c r="M30" s="82">
        <v>1.05</v>
      </c>
    </row>
    <row r="31" spans="1:14" ht="20.399999999999999" x14ac:dyDescent="0.25">
      <c r="A31" s="140"/>
      <c r="B31" s="140" t="s">
        <v>1584</v>
      </c>
      <c r="C31" s="34" t="s">
        <v>21</v>
      </c>
      <c r="D31" s="35" t="s">
        <v>1586</v>
      </c>
      <c r="E31" s="35">
        <v>1</v>
      </c>
      <c r="F31" s="46" t="s">
        <v>1587</v>
      </c>
      <c r="G31" s="75">
        <v>1</v>
      </c>
      <c r="H31" s="76" t="s">
        <v>14</v>
      </c>
      <c r="I31" s="51">
        <v>975</v>
      </c>
      <c r="J31" s="51">
        <v>975</v>
      </c>
      <c r="K31" s="82">
        <v>3.36</v>
      </c>
      <c r="L31" s="82">
        <v>1.91</v>
      </c>
      <c r="M31" s="82">
        <v>2.89</v>
      </c>
    </row>
    <row r="32" spans="1:14" ht="20.399999999999999" x14ac:dyDescent="0.25">
      <c r="A32" s="140"/>
      <c r="B32" s="140" t="s">
        <v>1584</v>
      </c>
      <c r="C32" s="34" t="s">
        <v>21</v>
      </c>
      <c r="D32" s="35" t="s">
        <v>1607</v>
      </c>
      <c r="E32" s="35">
        <v>1</v>
      </c>
      <c r="F32" s="46" t="s">
        <v>1608</v>
      </c>
      <c r="G32" s="75">
        <v>1</v>
      </c>
      <c r="H32" s="76" t="s">
        <v>14</v>
      </c>
      <c r="I32" s="51">
        <v>545</v>
      </c>
      <c r="J32" s="51">
        <v>545</v>
      </c>
      <c r="K32" s="82">
        <v>3.46</v>
      </c>
      <c r="L32" s="82">
        <v>1.76</v>
      </c>
      <c r="M32" s="82">
        <v>1.96</v>
      </c>
    </row>
    <row r="33" spans="1:13" ht="20.399999999999999" x14ac:dyDescent="0.25">
      <c r="A33" s="140"/>
      <c r="B33" s="140" t="s">
        <v>1584</v>
      </c>
      <c r="C33" s="34" t="s">
        <v>19</v>
      </c>
      <c r="D33" s="35" t="s">
        <v>1154</v>
      </c>
      <c r="E33" s="35">
        <v>1</v>
      </c>
      <c r="F33" s="46" t="s">
        <v>1609</v>
      </c>
      <c r="G33" s="75">
        <v>1</v>
      </c>
      <c r="H33" s="76" t="s">
        <v>14</v>
      </c>
      <c r="I33" s="51">
        <v>3024</v>
      </c>
      <c r="J33" s="51">
        <v>3024</v>
      </c>
      <c r="K33" s="82">
        <v>4.0999999999999996</v>
      </c>
      <c r="L33" s="82">
        <v>1.9</v>
      </c>
      <c r="M33" s="82">
        <v>1.81</v>
      </c>
    </row>
    <row r="34" spans="1:13" ht="20.399999999999999" x14ac:dyDescent="0.25">
      <c r="A34" s="140"/>
      <c r="B34" s="140" t="s">
        <v>1584</v>
      </c>
      <c r="C34" s="34" t="s">
        <v>21</v>
      </c>
      <c r="D34" s="35" t="s">
        <v>1151</v>
      </c>
      <c r="E34" s="35">
        <v>1</v>
      </c>
      <c r="F34" s="46" t="s">
        <v>1588</v>
      </c>
      <c r="G34" s="75">
        <v>1</v>
      </c>
      <c r="H34" s="76" t="s">
        <v>14</v>
      </c>
      <c r="I34" s="51">
        <v>235</v>
      </c>
      <c r="J34" s="51">
        <v>235</v>
      </c>
      <c r="K34" s="82">
        <v>3.07</v>
      </c>
      <c r="L34" s="82">
        <v>0.8</v>
      </c>
      <c r="M34" s="82">
        <v>1.1000000000000001</v>
      </c>
    </row>
    <row r="35" spans="1:13" ht="20.399999999999999" x14ac:dyDescent="0.25">
      <c r="A35" s="140"/>
      <c r="B35" s="140" t="s">
        <v>1584</v>
      </c>
      <c r="C35" s="34" t="s">
        <v>21</v>
      </c>
      <c r="D35" s="35" t="s">
        <v>1589</v>
      </c>
      <c r="E35" s="35">
        <v>1</v>
      </c>
      <c r="F35" s="46" t="s">
        <v>1590</v>
      </c>
      <c r="G35" s="75">
        <v>1</v>
      </c>
      <c r="H35" s="76" t="s">
        <v>14</v>
      </c>
      <c r="I35" s="51">
        <v>195</v>
      </c>
      <c r="J35" s="51">
        <v>195</v>
      </c>
      <c r="K35" s="82">
        <v>3.07</v>
      </c>
      <c r="L35" s="82">
        <v>0.8</v>
      </c>
      <c r="M35" s="82">
        <v>1.1000000000000001</v>
      </c>
    </row>
    <row r="36" spans="1:13" ht="26.4" x14ac:dyDescent="0.25">
      <c r="A36" s="140"/>
      <c r="B36" s="140" t="s">
        <v>1584</v>
      </c>
      <c r="C36" s="34" t="s">
        <v>97</v>
      </c>
      <c r="D36" s="35" t="s">
        <v>1591</v>
      </c>
      <c r="E36" s="35">
        <v>1</v>
      </c>
      <c r="F36" s="46" t="s">
        <v>1592</v>
      </c>
      <c r="G36" s="172">
        <v>1</v>
      </c>
      <c r="H36" s="76" t="s">
        <v>1593</v>
      </c>
      <c r="I36" s="51">
        <v>1128</v>
      </c>
      <c r="J36" s="51">
        <v>1128</v>
      </c>
      <c r="K36" s="82">
        <v>3.25</v>
      </c>
      <c r="L36" s="82">
        <v>2.16</v>
      </c>
      <c r="M36" s="82">
        <v>1.33</v>
      </c>
    </row>
    <row r="37" spans="1:13" ht="26.4" x14ac:dyDescent="0.25">
      <c r="A37" s="140"/>
      <c r="B37" s="140" t="s">
        <v>1584</v>
      </c>
      <c r="C37" s="34" t="s">
        <v>97</v>
      </c>
      <c r="D37" s="35" t="s">
        <v>1591</v>
      </c>
      <c r="E37" s="35">
        <v>1</v>
      </c>
      <c r="F37" s="46" t="s">
        <v>1594</v>
      </c>
      <c r="G37" s="172">
        <v>1</v>
      </c>
      <c r="H37" s="76" t="s">
        <v>1593</v>
      </c>
      <c r="I37" s="51">
        <v>1646</v>
      </c>
      <c r="J37" s="51">
        <v>1646</v>
      </c>
      <c r="K37" s="82">
        <v>3.16</v>
      </c>
      <c r="L37" s="82">
        <v>2</v>
      </c>
      <c r="M37" s="82">
        <v>2.69</v>
      </c>
    </row>
    <row r="38" spans="1:13" ht="26.4" x14ac:dyDescent="0.25">
      <c r="A38" s="140"/>
      <c r="B38" s="140" t="s">
        <v>1584</v>
      </c>
      <c r="C38" s="34" t="s">
        <v>18</v>
      </c>
      <c r="D38" s="35" t="s">
        <v>1591</v>
      </c>
      <c r="E38" s="35">
        <v>1</v>
      </c>
      <c r="F38" s="46" t="s">
        <v>1595</v>
      </c>
      <c r="G38" s="172">
        <v>1</v>
      </c>
      <c r="H38" s="76" t="s">
        <v>1593</v>
      </c>
      <c r="I38" s="51">
        <v>66</v>
      </c>
      <c r="J38" s="51">
        <v>71</v>
      </c>
      <c r="K38" s="82">
        <v>0.55000000000000004</v>
      </c>
      <c r="L38" s="82">
        <v>0.45</v>
      </c>
      <c r="M38" s="82">
        <v>0.9</v>
      </c>
    </row>
    <row r="39" spans="1:13" ht="20.399999999999999" x14ac:dyDescent="0.25">
      <c r="A39" s="140"/>
      <c r="B39" s="140" t="s">
        <v>1584</v>
      </c>
      <c r="C39" s="34" t="s">
        <v>21</v>
      </c>
      <c r="D39" s="35" t="s">
        <v>1149</v>
      </c>
      <c r="E39" s="35">
        <v>1</v>
      </c>
      <c r="F39" s="46" t="s">
        <v>1596</v>
      </c>
      <c r="G39" s="75">
        <v>1</v>
      </c>
      <c r="H39" s="76" t="s">
        <v>14</v>
      </c>
      <c r="I39" s="51">
        <v>588</v>
      </c>
      <c r="J39" s="51">
        <v>588</v>
      </c>
      <c r="K39" s="82">
        <v>1.25</v>
      </c>
      <c r="L39" s="82">
        <v>1.1000000000000001</v>
      </c>
      <c r="M39" s="82">
        <v>1.3</v>
      </c>
    </row>
    <row r="40" spans="1:13" ht="20.399999999999999" x14ac:dyDescent="0.25">
      <c r="A40" s="140"/>
      <c r="B40" s="140" t="s">
        <v>1584</v>
      </c>
      <c r="C40" s="34" t="s">
        <v>18</v>
      </c>
      <c r="D40" s="35" t="s">
        <v>1597</v>
      </c>
      <c r="E40" s="35">
        <v>1</v>
      </c>
      <c r="F40" s="46" t="s">
        <v>1598</v>
      </c>
      <c r="G40" s="75">
        <v>1</v>
      </c>
      <c r="H40" s="76" t="s">
        <v>14</v>
      </c>
      <c r="I40" s="51">
        <v>165</v>
      </c>
      <c r="J40" s="51">
        <v>175</v>
      </c>
      <c r="K40" s="82">
        <v>1.05</v>
      </c>
      <c r="L40" s="82">
        <v>0.51</v>
      </c>
      <c r="M40" s="82">
        <v>0.49</v>
      </c>
    </row>
    <row r="41" spans="1:13" ht="20.399999999999999" x14ac:dyDescent="0.25">
      <c r="A41" s="140"/>
      <c r="B41" s="140" t="s">
        <v>1584</v>
      </c>
      <c r="C41" s="34" t="s">
        <v>1599</v>
      </c>
      <c r="D41" s="35" t="s">
        <v>1600</v>
      </c>
      <c r="E41" s="35">
        <v>1</v>
      </c>
      <c r="F41" s="46" t="s">
        <v>1601</v>
      </c>
      <c r="G41" s="75">
        <v>1</v>
      </c>
      <c r="H41" s="76" t="s">
        <v>14</v>
      </c>
      <c r="I41" s="51">
        <v>2645</v>
      </c>
      <c r="J41" s="51">
        <v>3045</v>
      </c>
      <c r="K41" s="82">
        <v>6.93</v>
      </c>
      <c r="L41" s="82">
        <v>1.81</v>
      </c>
      <c r="M41" s="82">
        <v>2.16</v>
      </c>
    </row>
    <row r="42" spans="1:13" ht="20.399999999999999" x14ac:dyDescent="0.25">
      <c r="A42" s="140"/>
      <c r="B42" s="140" t="s">
        <v>1584</v>
      </c>
      <c r="C42" s="34" t="s">
        <v>1261</v>
      </c>
      <c r="D42" s="35" t="s">
        <v>1610</v>
      </c>
      <c r="E42" s="35">
        <v>1</v>
      </c>
      <c r="F42" s="46" t="s">
        <v>1611</v>
      </c>
      <c r="G42" s="172">
        <v>1</v>
      </c>
      <c r="H42" s="76" t="s">
        <v>1593</v>
      </c>
      <c r="I42" s="51">
        <v>1510</v>
      </c>
      <c r="J42" s="51">
        <v>1910</v>
      </c>
      <c r="K42" s="82">
        <v>4.93</v>
      </c>
      <c r="L42" s="82">
        <v>2.4</v>
      </c>
      <c r="M42" s="82">
        <v>2.2599999999999998</v>
      </c>
    </row>
    <row r="43" spans="1:13" ht="20.399999999999999" x14ac:dyDescent="0.25">
      <c r="A43" s="140"/>
      <c r="B43" s="140" t="s">
        <v>1584</v>
      </c>
      <c r="C43" s="34" t="s">
        <v>21</v>
      </c>
      <c r="D43" s="35" t="s">
        <v>1152</v>
      </c>
      <c r="E43" s="35">
        <v>1</v>
      </c>
      <c r="F43" s="46" t="s">
        <v>1602</v>
      </c>
      <c r="G43" s="75">
        <v>1</v>
      </c>
      <c r="H43" s="76" t="s">
        <v>14</v>
      </c>
      <c r="I43" s="51">
        <v>125</v>
      </c>
      <c r="J43" s="51">
        <v>125</v>
      </c>
      <c r="K43" s="82">
        <v>0.68</v>
      </c>
      <c r="L43" s="82">
        <v>0.53</v>
      </c>
      <c r="M43" s="82">
        <v>0.68</v>
      </c>
    </row>
    <row r="44" spans="1:13" ht="20.399999999999999" x14ac:dyDescent="0.25">
      <c r="A44" s="140"/>
      <c r="B44" s="140" t="s">
        <v>1584</v>
      </c>
      <c r="C44" s="34" t="s">
        <v>21</v>
      </c>
      <c r="D44" s="35" t="s">
        <v>1603</v>
      </c>
      <c r="E44" s="35">
        <v>1</v>
      </c>
      <c r="F44" s="46" t="s">
        <v>1604</v>
      </c>
      <c r="G44" s="75">
        <v>1</v>
      </c>
      <c r="H44" s="76" t="s">
        <v>14</v>
      </c>
      <c r="I44" s="51">
        <v>125</v>
      </c>
      <c r="J44" s="51">
        <v>125</v>
      </c>
      <c r="K44" s="82">
        <v>0.68</v>
      </c>
      <c r="L44" s="82">
        <v>0.53</v>
      </c>
      <c r="M44" s="82">
        <v>0.68</v>
      </c>
    </row>
    <row r="45" spans="1:13" ht="20.399999999999999" x14ac:dyDescent="0.25">
      <c r="A45" s="140"/>
      <c r="B45" s="140" t="s">
        <v>1584</v>
      </c>
      <c r="C45" s="34" t="s">
        <v>21</v>
      </c>
      <c r="D45" s="35" t="s">
        <v>1605</v>
      </c>
      <c r="E45" s="35">
        <v>1</v>
      </c>
      <c r="F45" s="46" t="s">
        <v>1606</v>
      </c>
      <c r="G45" s="75">
        <v>1</v>
      </c>
      <c r="H45" s="76" t="s">
        <v>14</v>
      </c>
      <c r="I45" s="51">
        <v>125</v>
      </c>
      <c r="J45" s="51">
        <v>125</v>
      </c>
      <c r="K45" s="82">
        <v>0.68</v>
      </c>
      <c r="L45" s="82">
        <v>0.53</v>
      </c>
      <c r="M45" s="82">
        <v>0.68</v>
      </c>
    </row>
  </sheetData>
  <mergeCells count="1">
    <mergeCell ref="G1:H1"/>
  </mergeCells>
  <printOptions horizontalCentered="1"/>
  <pageMargins left="0.39370078740157483" right="0.39370078740157483" top="0.39370078740157483" bottom="0.59055118110236227" header="0.23622047244094491" footer="0.27559055118110237"/>
  <pageSetup paperSize="9" scale="78" orientation="landscape" blackAndWhite="1" r:id="rId1"/>
  <headerFooter alignWithMargins="0">
    <oddHeader>&amp;R&amp;G</oddHeader>
    <oddFooter>&amp;R&amp;8 12.08.2011
EL SHARK
Packing List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19</vt:i4>
      </vt:variant>
      <vt:variant>
        <vt:lpstr>Adlandırılmış Aralıklar</vt:lpstr>
      </vt:variant>
      <vt:variant>
        <vt:i4>38</vt:i4>
      </vt:variant>
    </vt:vector>
  </HeadingPairs>
  <TitlesOfParts>
    <vt:vector size="57" baseType="lpstr">
      <vt:lpstr>HSB100 Ekstraktör</vt:lpstr>
      <vt:lpstr>HSB200 Ekstraktör</vt:lpstr>
      <vt:lpstr>HSB320 Ekstraktör</vt:lpstr>
      <vt:lpstr>HSB480 Ekstraktör</vt:lpstr>
      <vt:lpstr>HSB750 Ekstraktör</vt:lpstr>
      <vt:lpstr>HSB1330 Ekstraktör</vt:lpstr>
      <vt:lpstr>Elevatör-Konveyör</vt:lpstr>
      <vt:lpstr>Tortulu Yağ Elevatörü</vt:lpstr>
      <vt:lpstr>NYP60 Pres</vt:lpstr>
      <vt:lpstr>NYP45 Pres</vt:lpstr>
      <vt:lpstr>NYP30 Pres</vt:lpstr>
      <vt:lpstr>NYP15 Pres</vt:lpstr>
      <vt:lpstr>NYP4 Pres</vt:lpstr>
      <vt:lpstr>FRP05 Pres</vt:lpstr>
      <vt:lpstr>Kondisyoner ve Tava</vt:lpstr>
      <vt:lpstr>Vals</vt:lpstr>
      <vt:lpstr>Kırma</vt:lpstr>
      <vt:lpstr>Rafine</vt:lpstr>
      <vt:lpstr>Özel İmalat</vt:lpstr>
      <vt:lpstr>'Elevatör-Konveyör'!Yazdırma_Alanı</vt:lpstr>
      <vt:lpstr>'FRP05 Pres'!Yazdırma_Alanı</vt:lpstr>
      <vt:lpstr>'HSB100 Ekstraktör'!Yazdırma_Alanı</vt:lpstr>
      <vt:lpstr>'HSB1330 Ekstraktör'!Yazdırma_Alanı</vt:lpstr>
      <vt:lpstr>'HSB200 Ekstraktör'!Yazdırma_Alanı</vt:lpstr>
      <vt:lpstr>'HSB320 Ekstraktör'!Yazdırma_Alanı</vt:lpstr>
      <vt:lpstr>'HSB480 Ekstraktör'!Yazdırma_Alanı</vt:lpstr>
      <vt:lpstr>'HSB750 Ekstraktör'!Yazdırma_Alanı</vt:lpstr>
      <vt:lpstr>Kırma!Yazdırma_Alanı</vt:lpstr>
      <vt:lpstr>'Kondisyoner ve Tava'!Yazdırma_Alanı</vt:lpstr>
      <vt:lpstr>'NYP15 Pres'!Yazdırma_Alanı</vt:lpstr>
      <vt:lpstr>'NYP30 Pres'!Yazdırma_Alanı</vt:lpstr>
      <vt:lpstr>'NYP4 Pres'!Yazdırma_Alanı</vt:lpstr>
      <vt:lpstr>'NYP45 Pres'!Yazdırma_Alanı</vt:lpstr>
      <vt:lpstr>'NYP60 Pres'!Yazdırma_Alanı</vt:lpstr>
      <vt:lpstr>'Özel İmalat'!Yazdırma_Alanı</vt:lpstr>
      <vt:lpstr>Rafine!Yazdırma_Alanı</vt:lpstr>
      <vt:lpstr>'Tortulu Yağ Elevatörü'!Yazdırma_Alanı</vt:lpstr>
      <vt:lpstr>Vals!Yazdırma_Alanı</vt:lpstr>
      <vt:lpstr>'Elevatör-Konveyör'!Yazdırma_Başlıkları</vt:lpstr>
      <vt:lpstr>'FRP05 Pres'!Yazdırma_Başlıkları</vt:lpstr>
      <vt:lpstr>'HSB100 Ekstraktör'!Yazdırma_Başlıkları</vt:lpstr>
      <vt:lpstr>'HSB1330 Ekstraktör'!Yazdırma_Başlıkları</vt:lpstr>
      <vt:lpstr>'HSB200 Ekstraktör'!Yazdırma_Başlıkları</vt:lpstr>
      <vt:lpstr>'HSB320 Ekstraktör'!Yazdırma_Başlıkları</vt:lpstr>
      <vt:lpstr>'HSB480 Ekstraktör'!Yazdırma_Başlıkları</vt:lpstr>
      <vt:lpstr>'HSB750 Ekstraktör'!Yazdırma_Başlıkları</vt:lpstr>
      <vt:lpstr>Kırma!Yazdırma_Başlıkları</vt:lpstr>
      <vt:lpstr>'Kondisyoner ve Tava'!Yazdırma_Başlıkları</vt:lpstr>
      <vt:lpstr>'NYP15 Pres'!Yazdırma_Başlıkları</vt:lpstr>
      <vt:lpstr>'NYP30 Pres'!Yazdırma_Başlıkları</vt:lpstr>
      <vt:lpstr>'NYP4 Pres'!Yazdırma_Başlıkları</vt:lpstr>
      <vt:lpstr>'NYP45 Pres'!Yazdırma_Başlıkları</vt:lpstr>
      <vt:lpstr>'NYP60 Pres'!Yazdırma_Başlıkları</vt:lpstr>
      <vt:lpstr>'Özel İmalat'!Yazdırma_Başlıkları</vt:lpstr>
      <vt:lpstr>Rafine!Yazdırma_Başlıkları</vt:lpstr>
      <vt:lpstr>'Tortulu Yağ Elevatörü'!Yazdırma_Başlıkları</vt:lpstr>
      <vt:lpstr>Vals!Yazdırma_Başlıkları</vt:lpstr>
    </vt:vector>
  </TitlesOfParts>
  <Company>Hum Mühendislik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ERHAN</dc:creator>
  <cp:lastModifiedBy>SUDE KÖKEN</cp:lastModifiedBy>
  <cp:lastPrinted>2012-01-11T15:46:42Z</cp:lastPrinted>
  <dcterms:created xsi:type="dcterms:W3CDTF">2008-06-24T08:07:58Z</dcterms:created>
  <dcterms:modified xsi:type="dcterms:W3CDTF">2025-12-16T20:23:01Z</dcterms:modified>
</cp:coreProperties>
</file>